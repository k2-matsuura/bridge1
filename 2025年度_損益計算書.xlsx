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&amp;Lサマリー" sheetId="1" state="visible" r:id="rId1"/>
    <sheet xmlns:r="http://schemas.openxmlformats.org/officeDocument/2006/relationships" name="人員配置・人件費" sheetId="2" state="visible" r:id="rId2"/>
    <sheet xmlns:r="http://schemas.openxmlformats.org/officeDocument/2006/relationships" name="領域1_環境提供" sheetId="3" state="visible" r:id="rId3"/>
    <sheet xmlns:r="http://schemas.openxmlformats.org/officeDocument/2006/relationships" name="領域2_プロジェクト参画" sheetId="4" state="visible" r:id="rId4"/>
    <sheet xmlns:r="http://schemas.openxmlformats.org/officeDocument/2006/relationships" name="領域3_インセンティブ" sheetId="5" state="visible" r:id="rId5"/>
    <sheet xmlns:r="http://schemas.openxmlformats.org/officeDocument/2006/relationships" name="データ入力ガイド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;\(0.0%\);\-"/>
    <numFmt numFmtId="166" formatCode="#,##0.0;\(#,##0.0\);\-"/>
  </numFmts>
  <fonts count="28">
    <font>
      <name val="ＭＳ Ｐゴシック"/>
      <family val="2"/>
      <color theme="1"/>
      <sz val="11"/>
      <scheme val="minor"/>
    </font>
    <font>
      <name val="Arial"/>
      <color rgb="FF595959"/>
      <sz val="9"/>
    </font>
    <font>
      <name val="Arial"/>
      <b val="1"/>
      <color rgb="FFFFFFFF"/>
      <sz val="11"/>
    </font>
    <font>
      <name val="Arial"/>
      <b val="1"/>
      <sz val="10"/>
    </font>
    <font>
      <name val="Arial"/>
      <sz val="10"/>
    </font>
    <font>
      <name val="Arial"/>
      <color rgb="FF2E75B6"/>
      <sz val="10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375623"/>
      <sz val="14"/>
    </font>
    <font>
      <name val="Arial"/>
      <b val="1"/>
      <color rgb="FFC55A11"/>
      <sz val="14"/>
    </font>
    <font>
      <name val="Arial"/>
      <b val="1"/>
      <color rgb="FFC55A11"/>
      <sz val="11"/>
    </font>
    <font>
      <name val="Arial"/>
      <b val="1"/>
      <color rgb="FF7030A0"/>
      <sz val="14"/>
    </font>
    <font>
      <name val="Arial"/>
      <b val="1"/>
      <color rgb="FF7030A0"/>
      <sz val="11"/>
    </font>
    <font>
      <name val="Arial"/>
      <b val="1"/>
      <color rgb="FF595959"/>
      <sz val="16"/>
    </font>
    <font>
      <name val="ＭＳ Ｐゴシック"/>
      <charset val="128"/>
      <family val="3"/>
      <sz val="6"/>
      <scheme val="minor"/>
    </font>
    <font>
      <name val="Arial"/>
      <family val="2"/>
      <b val="1"/>
      <color rgb="FF1F4E79"/>
      <sz val="14"/>
    </font>
    <font>
      <name val="Arial"/>
      <family val="2"/>
      <sz val="10"/>
    </font>
    <font>
      <name val="Arial"/>
      <charset val="128"/>
      <family val="3"/>
      <sz val="10"/>
    </font>
    <font>
      <name val="Arial"/>
      <color rgb="FF0000FF"/>
      <sz val="10"/>
    </font>
    <font>
      <name val="Arial"/>
      <b val="1"/>
      <color rgb="FF0000FF"/>
      <sz val="10"/>
    </font>
    <font>
      <name val="ＭＳ Ｐゴシック"/>
      <charset val="128"/>
      <family val="3"/>
      <color rgb="FF2E75B6"/>
      <sz val="11"/>
    </font>
    <font>
      <name val="ＭＳ Ｐゴシック"/>
      <charset val="128"/>
      <family val="3"/>
      <color rgb="FF000000"/>
      <sz val="11"/>
    </font>
    <font>
      <b val="1"/>
      <color rgb="FF1F4E79"/>
      <sz val="14"/>
    </font>
    <font>
      <color rgb="FF595959"/>
      <sz val="11"/>
    </font>
    <font>
      <b val="1"/>
      <color rgb="FFFFFFFF"/>
      <sz val="11"/>
    </font>
    <font>
      <color rgb="FF2E75B6"/>
      <sz val="11"/>
    </font>
    <font>
      <sz val="11"/>
    </font>
    <font>
      <b val="1"/>
      <sz val="11"/>
    </font>
  </fonts>
  <fills count="15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BDD7EE"/>
        <bgColor rgb="FFBDD7EE"/>
      </patternFill>
    </fill>
    <fill>
      <patternFill patternType="solid">
        <fgColor rgb="FFD6E4F0"/>
        <bgColor rgb="FFD6E4F0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  <fill>
      <patternFill patternType="solid">
        <fgColor rgb="FFC55A11"/>
        <bgColor rgb="FFC55A11"/>
      </patternFill>
    </fill>
    <fill>
      <patternFill patternType="solid">
        <fgColor rgb="FFFCE4D6"/>
        <bgColor rgb="FFFCE4D6"/>
      </patternFill>
    </fill>
    <fill>
      <patternFill patternType="solid">
        <fgColor rgb="FF7030A0"/>
        <bgColor rgb="FF7030A0"/>
      </patternFill>
    </fill>
    <fill>
      <patternFill patternType="solid">
        <fgColor rgb="FFE2D0F0"/>
        <bgColor rgb="FFE2D0F0"/>
      </patternFill>
    </fill>
    <fill>
      <patternFill patternType="solid">
        <fgColor rgb="FF595959"/>
        <bgColor rgb="FF595959"/>
      </patternFill>
    </fill>
    <fill>
      <patternFill patternType="solid">
        <fgColor rgb="FFFFFACD"/>
        <bgColor rgb="FFFFFACD"/>
      </patternFill>
    </fill>
    <fill>
      <patternFill patternType="solid">
        <fgColor rgb="FF1F4E79"/>
      </patternFill>
    </fill>
    <fill>
      <patternFill patternType="solid">
        <fgColor rgb="FFD6E4F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indent="1"/>
    </xf>
    <xf numFmtId="0" fontId="2" fillId="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16" fillId="0" borderId="1" applyAlignment="1" pivotButton="0" quotePrefix="0" xfId="0">
      <alignment horizontal="left" vertical="center"/>
    </xf>
    <xf numFmtId="17" fontId="4" fillId="0" borderId="1" applyAlignment="1" pivotButton="0" quotePrefix="0" xfId="0">
      <alignment horizontal="left" vertical="center"/>
    </xf>
    <xf numFmtId="14" fontId="5" fillId="0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0" pivotButton="0" quotePrefix="0" xfId="0"/>
    <xf numFmtId="0" fontId="10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164" fontId="18" fillId="0" borderId="1" applyAlignment="1" pivotButton="0" quotePrefix="0" xfId="0">
      <alignment horizontal="right" vertical="center"/>
    </xf>
    <xf numFmtId="164" fontId="19" fillId="4" borderId="1" applyAlignment="1" pivotButton="0" quotePrefix="0" xfId="0">
      <alignment horizontal="right" vertical="center"/>
    </xf>
    <xf numFmtId="166" fontId="18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4" fontId="20" fillId="0" borderId="1" applyAlignment="1" pivotButton="0" quotePrefix="0" xfId="0">
      <alignment horizontal="right" vertical="center"/>
    </xf>
    <xf numFmtId="164" fontId="21" fillId="0" borderId="1" applyAlignment="1" pivotButton="0" quotePrefix="0" xfId="0">
      <alignment horizontal="right" vertical="center"/>
    </xf>
    <xf numFmtId="0" fontId="20" fillId="0" borderId="1" pivotButton="0" quotePrefix="0" xfId="0"/>
    <xf numFmtId="0" fontId="3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15" fillId="0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2"/>
    </xf>
    <xf numFmtId="0" fontId="4" fillId="0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2" fillId="11" borderId="1" applyAlignment="1" pivotButton="0" quotePrefix="0" xfId="0">
      <alignment horizontal="left" vertical="center" indent="1"/>
    </xf>
    <xf numFmtId="0" fontId="4" fillId="12" borderId="1" applyAlignment="1" pivotButton="0" quotePrefix="0" xfId="0">
      <alignment horizontal="left" vertical="center" wrapText="1" indent="2"/>
    </xf>
    <xf numFmtId="0" fontId="13" fillId="0" borderId="0" applyAlignment="1" pivotButton="0" quotePrefix="0" xfId="0">
      <alignment horizontal="center" vertical="center"/>
    </xf>
    <xf numFmtId="164" fontId="20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21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164" fontId="25" fillId="0" borderId="0" applyAlignment="1" pivotButton="0" quotePrefix="0" xfId="0">
      <alignment horizontal="right" vertical="center"/>
    </xf>
    <xf numFmtId="164" fontId="26" fillId="0" borderId="0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23" fillId="0" borderId="0" pivotButton="0" quotePrefix="0" xfId="0"/>
    <xf numFmtId="0" fontId="24" fillId="13" borderId="6" applyAlignment="1" pivotButton="0" quotePrefix="0" xfId="0">
      <alignment horizontal="center" vertical="center"/>
    </xf>
    <xf numFmtId="0" fontId="25" fillId="0" borderId="6" applyAlignment="1" pivotButton="0" quotePrefix="0" xfId="0">
      <alignment horizontal="left" vertical="center"/>
    </xf>
    <xf numFmtId="164" fontId="25" fillId="0" borderId="6" applyAlignment="1" pivotButton="0" quotePrefix="0" xfId="0">
      <alignment horizontal="right" vertical="center"/>
    </xf>
    <xf numFmtId="164" fontId="26" fillId="0" borderId="6" applyAlignment="1" pivotButton="0" quotePrefix="0" xfId="0">
      <alignment horizontal="right" vertical="center"/>
    </xf>
    <xf numFmtId="0" fontId="27" fillId="14" borderId="6" applyAlignment="1" pivotButton="0" quotePrefix="0" xfId="0">
      <alignment horizontal="left" vertical="center"/>
    </xf>
    <xf numFmtId="0" fontId="0" fillId="14" borderId="6" applyAlignment="1" pivotButton="0" quotePrefix="0" xfId="0">
      <alignment horizontal="right" vertical="center"/>
    </xf>
    <xf numFmtId="164" fontId="27" fillId="14" borderId="6" applyAlignment="1" pivotButton="0" quotePrefix="0" xfId="0">
      <alignment horizontal="right" vertical="center"/>
    </xf>
    <xf numFmtId="164" fontId="18" fillId="0" borderId="1" applyAlignment="1" pivotButton="0" quotePrefix="0" xfId="0">
      <alignment horizontal="right" vertical="center"/>
    </xf>
    <xf numFmtId="164" fontId="19" fillId="4" borderId="1" applyAlignment="1" pivotButton="0" quotePrefix="0" xfId="0">
      <alignment horizontal="right" vertical="center"/>
    </xf>
    <xf numFmtId="166" fontId="18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Claude</author>
  </authors>
  <commentList>
    <comment ref="A13" authorId="0" shapeId="0">
      <text>
        <t>人件費は粗利計算済みのため０。詳細は領域２シート参照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tabSelected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2" sqref="A2:N2"/>
    </sheetView>
  </sheetViews>
  <sheetFormatPr baseColWidth="8" defaultRowHeight="13.2"/>
  <cols>
    <col width="32" customWidth="1" style="37" min="1" max="1"/>
    <col width="10" customWidth="1" style="37" min="2" max="13"/>
    <col width="12" customWidth="1" style="37" min="14" max="14"/>
  </cols>
  <sheetData>
    <row r="1" ht="30" customHeight="1" s="37">
      <c r="A1" s="38" t="inlineStr">
        <is>
          <t>bibbja12</t>
        </is>
      </c>
    </row>
    <row r="2">
      <c r="A2" s="36" t="inlineStr">
        <is>
          <t>（単位：千円）</t>
        </is>
      </c>
    </row>
    <row r="3" ht="34.95" customHeight="1" s="37">
      <c r="A3" s="1" t="inlineStr">
        <is>
          <t>項目</t>
        </is>
      </c>
      <c r="B3" s="1" t="inlineStr">
        <is>
          <t>4月</t>
        </is>
      </c>
      <c r="C3" s="1" t="inlineStr">
        <is>
          <t>5月</t>
        </is>
      </c>
      <c r="D3" s="1" t="inlineStr">
        <is>
          <t>6月</t>
        </is>
      </c>
      <c r="E3" s="1" t="inlineStr">
        <is>
          <t>7月</t>
        </is>
      </c>
      <c r="F3" s="1" t="inlineStr">
        <is>
          <t>8月</t>
        </is>
      </c>
      <c r="G3" s="1" t="inlineStr">
        <is>
          <t>9月</t>
        </is>
      </c>
      <c r="H3" s="1" t="inlineStr">
        <is>
          <t>10月</t>
        </is>
      </c>
      <c r="I3" s="1" t="inlineStr">
        <is>
          <t>11月</t>
        </is>
      </c>
      <c r="J3" s="1" t="inlineStr">
        <is>
          <t>12月</t>
        </is>
      </c>
      <c r="K3" s="1" t="inlineStr">
        <is>
          <t>1月</t>
        </is>
      </c>
      <c r="L3" s="1" t="inlineStr">
        <is>
          <t>2月</t>
        </is>
      </c>
      <c r="M3" s="1" t="inlineStr">
        <is>
          <t>3月</t>
        </is>
      </c>
      <c r="N3" s="1" t="inlineStr">
        <is>
          <t>年間合計</t>
        </is>
      </c>
    </row>
    <row r="4">
      <c r="A4" s="33" t="inlineStr">
        <is>
          <t>【売上】</t>
        </is>
      </c>
      <c r="B4" s="34" t="n"/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5" t="n"/>
    </row>
    <row r="5">
      <c r="A5" s="2" t="inlineStr">
        <is>
          <t>領域1: スプレッド収益</t>
        </is>
      </c>
      <c r="B5" s="53" t="n">
        <v>150000</v>
      </c>
      <c r="C5" s="53" t="n">
        <v>150000</v>
      </c>
      <c r="D5" s="53" t="n">
        <v>150000</v>
      </c>
      <c r="E5" s="53" t="n">
        <v>49224</v>
      </c>
      <c r="F5" s="53" t="n">
        <v>170294</v>
      </c>
      <c r="G5" s="53" t="n">
        <v>23463</v>
      </c>
      <c r="H5" s="53" t="n">
        <v>184967</v>
      </c>
      <c r="I5" s="53" t="n">
        <v>337469</v>
      </c>
      <c r="J5" s="53" t="n">
        <v>-851641</v>
      </c>
      <c r="K5" s="53" t="n">
        <v>1043494</v>
      </c>
      <c r="L5" s="53" t="n">
        <v>-6750346</v>
      </c>
      <c r="M5" s="53" t="n">
        <v>0</v>
      </c>
      <c r="N5" s="54">
        <f>SUM(B5:M5)</f>
        <v/>
      </c>
    </row>
    <row r="6">
      <c r="A6" s="2" t="inlineStr">
        <is>
          <t>領域1: 技術サポート収益</t>
        </is>
      </c>
      <c r="B6" s="55" t="n">
        <v>0</v>
      </c>
      <c r="C6" s="55" t="n">
        <v>0</v>
      </c>
      <c r="D6" s="55" t="n">
        <v>0</v>
      </c>
      <c r="E6" s="55" t="n">
        <v>0</v>
      </c>
      <c r="F6" s="55" t="n">
        <v>0</v>
      </c>
      <c r="G6" s="55" t="n">
        <v>0</v>
      </c>
      <c r="H6" s="55" t="n">
        <v>0</v>
      </c>
      <c r="I6" s="55" t="n">
        <v>0</v>
      </c>
      <c r="J6" s="55" t="n">
        <v>0</v>
      </c>
      <c r="K6" s="55" t="n">
        <v>0</v>
      </c>
      <c r="L6" s="55" t="n">
        <v>0</v>
      </c>
      <c r="M6" s="55" t="n">
        <v>0</v>
      </c>
      <c r="N6" s="54">
        <f>SUM(B6:M6)</f>
        <v/>
      </c>
    </row>
    <row r="7">
      <c r="A7" s="2" t="inlineStr">
        <is>
          <t>領域2: プロジェクト参画収益</t>
        </is>
      </c>
      <c r="B7" s="53" t="n">
        <v>1300938</v>
      </c>
      <c r="C7" s="53" t="n">
        <v>1300938</v>
      </c>
      <c r="D7" s="53" t="n">
        <v>1300938</v>
      </c>
      <c r="E7" s="53" t="n">
        <v>0</v>
      </c>
      <c r="F7" s="53" t="n">
        <v>2216400</v>
      </c>
      <c r="G7" s="53" t="n">
        <v>2216400</v>
      </c>
      <c r="H7" s="53" t="n">
        <v>3517338</v>
      </c>
      <c r="I7" s="53" t="n">
        <v>3324600</v>
      </c>
      <c r="J7" s="53" t="n">
        <v>4248600</v>
      </c>
      <c r="K7" s="53" t="n">
        <v>4248600</v>
      </c>
      <c r="L7" s="53" t="n">
        <v>3324600</v>
      </c>
      <c r="M7" s="53" t="n">
        <v>3324600</v>
      </c>
      <c r="N7" s="54">
        <f>SUM(B7:M7)</f>
        <v/>
      </c>
    </row>
    <row r="8">
      <c r="A8" s="2" t="inlineStr">
        <is>
          <t>領域3: ベンダーインセンティブ</t>
        </is>
      </c>
      <c r="B8" s="53" t="n">
        <v>204374</v>
      </c>
      <c r="C8" s="53" t="n">
        <v>204374</v>
      </c>
      <c r="D8" s="53" t="n">
        <v>204374</v>
      </c>
      <c r="E8" s="53" t="n">
        <v>204374</v>
      </c>
      <c r="F8" s="53" t="n">
        <v>204374</v>
      </c>
      <c r="G8" s="53" t="n">
        <v>204374</v>
      </c>
      <c r="H8" s="53" t="n">
        <v>176507</v>
      </c>
      <c r="I8" s="53" t="n">
        <v>176507</v>
      </c>
      <c r="J8" s="53" t="n">
        <v>176507</v>
      </c>
      <c r="K8" s="53" t="n">
        <v>176507</v>
      </c>
      <c r="L8" s="53" t="n">
        <v>176507</v>
      </c>
      <c r="M8" s="53" t="n">
        <v>176507</v>
      </c>
      <c r="N8" s="56">
        <f>SUM(B8:M8)</f>
        <v/>
      </c>
    </row>
    <row r="9">
      <c r="A9" s="3" t="inlineStr">
        <is>
          <t>売上計</t>
        </is>
      </c>
      <c r="B9" s="57">
        <f>B5+B6+B7+B8</f>
        <v/>
      </c>
      <c r="C9" s="57">
        <f>C5+C6+C7+C8</f>
        <v/>
      </c>
      <c r="D9" s="57">
        <f>D5+D6+D7+D8</f>
        <v/>
      </c>
      <c r="E9" s="57">
        <f>E5+E6+E7+E8</f>
        <v/>
      </c>
      <c r="F9" s="57">
        <f>F5+F6+F7+F8</f>
        <v/>
      </c>
      <c r="G9" s="57">
        <f>G5+G6+G7+G8</f>
        <v/>
      </c>
      <c r="H9" s="57">
        <f>H5+H6+H7+H8</f>
        <v/>
      </c>
      <c r="I9" s="57">
        <f>I5+I6+I7+I8</f>
        <v/>
      </c>
      <c r="J9" s="57">
        <f>J5+J6+J7+J8</f>
        <v/>
      </c>
      <c r="K9" s="57">
        <f>K5+K6+K7+K8</f>
        <v/>
      </c>
      <c r="L9" s="57">
        <f>L5+L6+L7+L8</f>
        <v/>
      </c>
      <c r="M9" s="57">
        <f>M5+M6+M7+M8</f>
        <v/>
      </c>
      <c r="N9" s="57">
        <f>SUM(B9:M9)</f>
        <v/>
      </c>
    </row>
    <row r="10">
      <c r="A10" s="33" t="inlineStr">
        <is>
          <t>【原価】</t>
        </is>
      </c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5" t="n"/>
    </row>
    <row r="11">
      <c r="A11" s="2" t="inlineStr">
        <is>
          <t>Snowflakeライセンス仕入れ原価</t>
        </is>
      </c>
      <c r="B11" s="53" t="n">
        <v>0</v>
      </c>
      <c r="C11" s="53" t="n">
        <v>0</v>
      </c>
      <c r="D11" s="53" t="n">
        <v>0</v>
      </c>
      <c r="E11" s="53" t="n">
        <v>0</v>
      </c>
      <c r="F11" s="53" t="n">
        <v>0</v>
      </c>
      <c r="G11" s="53" t="n">
        <v>0</v>
      </c>
      <c r="H11" s="53" t="n">
        <v>0</v>
      </c>
      <c r="I11" s="53" t="n">
        <v>0</v>
      </c>
      <c r="J11" s="53" t="n">
        <v>1566300</v>
      </c>
      <c r="K11" s="53" t="n">
        <v>0</v>
      </c>
      <c r="L11" s="53" t="n">
        <v>7679000</v>
      </c>
      <c r="M11" s="53" t="n">
        <v>0</v>
      </c>
      <c r="N11" s="54">
        <f>SUM(B11:M11)</f>
        <v/>
      </c>
    </row>
    <row r="12">
      <c r="A12" s="2" t="inlineStr">
        <is>
          <t>技術サポート人件費</t>
        </is>
      </c>
      <c r="B12" s="55" t="n">
        <v>0</v>
      </c>
      <c r="C12" s="55" t="n">
        <v>0</v>
      </c>
      <c r="D12" s="55" t="n">
        <v>0</v>
      </c>
      <c r="E12" s="55" t="n">
        <v>0</v>
      </c>
      <c r="F12" s="55" t="n">
        <v>0</v>
      </c>
      <c r="G12" s="55" t="n">
        <v>0</v>
      </c>
      <c r="H12" s="55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0</v>
      </c>
      <c r="N12" s="54">
        <f>SUM(B12:M12)</f>
        <v/>
      </c>
    </row>
    <row r="13">
      <c r="A13" s="2" t="inlineStr">
        <is>
          <t>プロジェクト参画人件費（粗利に含む）</t>
        </is>
      </c>
      <c r="B13" s="55" t="n">
        <v>0</v>
      </c>
      <c r="C13" s="55" t="n">
        <v>0</v>
      </c>
      <c r="D13" s="55" t="n">
        <v>0</v>
      </c>
      <c r="E13" s="55" t="n">
        <v>0</v>
      </c>
      <c r="F13" s="55" t="n">
        <v>0</v>
      </c>
      <c r="G13" s="55" t="n">
        <v>0</v>
      </c>
      <c r="H13" s="55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  <c r="N13" s="54">
        <f>SUM(B13:M13)</f>
        <v/>
      </c>
    </row>
    <row r="14">
      <c r="A14" s="2" t="inlineStr">
        <is>
          <t>営業・パートナー活動費</t>
        </is>
      </c>
      <c r="B14" s="53" t="n">
        <v>566607</v>
      </c>
      <c r="C14" s="53" t="n">
        <v>566607</v>
      </c>
      <c r="D14" s="53" t="n">
        <v>566607</v>
      </c>
      <c r="E14" s="53" t="n">
        <v>566607</v>
      </c>
      <c r="F14" s="53" t="n">
        <v>566607</v>
      </c>
      <c r="G14" s="53" t="n">
        <v>566607</v>
      </c>
      <c r="H14" s="53" t="n">
        <v>591307</v>
      </c>
      <c r="I14" s="53" t="n">
        <v>591307</v>
      </c>
      <c r="J14" s="53" t="n">
        <v>591307</v>
      </c>
      <c r="K14" s="53" t="n">
        <v>591307</v>
      </c>
      <c r="L14" s="53" t="n">
        <v>591307</v>
      </c>
      <c r="M14" s="53" t="n">
        <v>591307</v>
      </c>
      <c r="N14" s="56">
        <f>SUM(B14:M14)</f>
        <v/>
      </c>
    </row>
    <row r="15">
      <c r="A15" s="3" t="inlineStr">
        <is>
          <t>原価計</t>
        </is>
      </c>
      <c r="B15" s="57">
        <f>B11+B12+B13+B14</f>
        <v/>
      </c>
      <c r="C15" s="57">
        <f>C11+C12+C13+C14</f>
        <v/>
      </c>
      <c r="D15" s="57">
        <f>D11+D12+D13+D14</f>
        <v/>
      </c>
      <c r="E15" s="57">
        <f>E11+E12+E13+E14</f>
        <v/>
      </c>
      <c r="F15" s="57">
        <f>F11+F12+F13+F14</f>
        <v/>
      </c>
      <c r="G15" s="57">
        <f>G11+G12+G13+G14</f>
        <v/>
      </c>
      <c r="H15" s="57">
        <f>H11+H12+H13+H14</f>
        <v/>
      </c>
      <c r="I15" s="57">
        <f>I11+I12+I13+I14</f>
        <v/>
      </c>
      <c r="J15" s="57">
        <f>J11+J12+J13+J14</f>
        <v/>
      </c>
      <c r="K15" s="57">
        <f>K11+K12+K13+K14</f>
        <v/>
      </c>
      <c r="L15" s="57">
        <f>L11+L12+L13+L14</f>
        <v/>
      </c>
      <c r="M15" s="57">
        <f>M11+M12+M13+M14</f>
        <v/>
      </c>
      <c r="N15" s="57">
        <f>SUM(B15:M15)</f>
        <v/>
      </c>
    </row>
    <row r="16">
      <c r="A16" s="3" t="inlineStr">
        <is>
          <t>粗利</t>
        </is>
      </c>
      <c r="B16" s="57">
        <f>B9-B15</f>
        <v/>
      </c>
      <c r="C16" s="57">
        <f>C9-C15</f>
        <v/>
      </c>
      <c r="D16" s="57">
        <f>D9-D15</f>
        <v/>
      </c>
      <c r="E16" s="57">
        <f>E9-E15</f>
        <v/>
      </c>
      <c r="F16" s="57">
        <f>F9-F15</f>
        <v/>
      </c>
      <c r="G16" s="57">
        <f>G9-G15</f>
        <v/>
      </c>
      <c r="H16" s="57">
        <f>H9-H15</f>
        <v/>
      </c>
      <c r="I16" s="57">
        <f>I9-I15</f>
        <v/>
      </c>
      <c r="J16" s="57">
        <f>J9-J15</f>
        <v/>
      </c>
      <c r="K16" s="57">
        <f>K9-K15</f>
        <v/>
      </c>
      <c r="L16" s="57">
        <f>L9-L15</f>
        <v/>
      </c>
      <c r="M16" s="57">
        <f>M9-M15</f>
        <v/>
      </c>
      <c r="N16" s="57">
        <f>SUM(B16:M16)</f>
        <v/>
      </c>
    </row>
    <row r="17">
      <c r="A17" s="3" t="inlineStr">
        <is>
          <t>粗利率%</t>
        </is>
      </c>
      <c r="B17" s="58">
        <f>IF(B9=0,0,B16/B9)</f>
        <v/>
      </c>
      <c r="C17" s="58">
        <f>IF(C9=0,0,C16/C9)</f>
        <v/>
      </c>
      <c r="D17" s="58">
        <f>IF(D9=0,0,D16/D9)</f>
        <v/>
      </c>
      <c r="E17" s="58">
        <f>IF(E9=0,0,E16/E9)</f>
        <v/>
      </c>
      <c r="F17" s="58">
        <f>IF(F9=0,0,F16/F9)</f>
        <v/>
      </c>
      <c r="G17" s="58">
        <f>IF(G9=0,0,G16/G9)</f>
        <v/>
      </c>
      <c r="H17" s="58">
        <f>IF(H9=0,0,H16/H9)</f>
        <v/>
      </c>
      <c r="I17" s="58">
        <f>IF(I9=0,0,I16/I9)</f>
        <v/>
      </c>
      <c r="J17" s="58">
        <f>IF(J9=0,0,J16/J9)</f>
        <v/>
      </c>
      <c r="K17" s="58">
        <f>IF(K9=0,0,K16/K9)</f>
        <v/>
      </c>
      <c r="L17" s="58">
        <f>IF(L9=0,0,L16/L9)</f>
        <v/>
      </c>
      <c r="M17" s="58">
        <f>IF(M9=0,0,M16/M9)</f>
        <v/>
      </c>
      <c r="N17" s="58">
        <f>IF(N9=0,0,N16/N9)</f>
        <v/>
      </c>
    </row>
    <row r="18">
      <c r="A18" s="33" t="inlineStr">
        <is>
          <t>【販管費】</t>
        </is>
      </c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5" t="n"/>
    </row>
    <row r="19">
      <c r="A19" s="59" t="inlineStr">
        <is>
          <t>人件費（事業推進・管理）</t>
        </is>
      </c>
      <c r="B19" s="60" t="n">
        <v>3342200</v>
      </c>
      <c r="C19" s="60" t="n">
        <v>2561660</v>
      </c>
      <c r="D19" s="60" t="n">
        <v>1993070</v>
      </c>
      <c r="E19" s="60" t="n">
        <v>4422000</v>
      </c>
      <c r="F19" s="60" t="n">
        <v>2509200</v>
      </c>
      <c r="G19" s="60" t="n">
        <v>2509200</v>
      </c>
      <c r="H19" s="60" t="n">
        <v>2067000</v>
      </c>
      <c r="I19" s="60" t="n">
        <v>2331800</v>
      </c>
      <c r="J19" s="60" t="n">
        <v>2137050</v>
      </c>
      <c r="K19" s="60" t="n">
        <v>2137050</v>
      </c>
      <c r="L19" s="60" t="n">
        <v>2331800</v>
      </c>
      <c r="M19" s="60" t="n">
        <v>2331800</v>
      </c>
      <c r="N19" s="61">
        <f>SUM(B19:M19)</f>
        <v/>
      </c>
    </row>
    <row r="20">
      <c r="A20" s="2" t="inlineStr">
        <is>
          <t>管理費・間接費配賦</t>
        </is>
      </c>
      <c r="B20" s="55" t="n">
        <v>0</v>
      </c>
      <c r="C20" s="55" t="n">
        <v>0</v>
      </c>
      <c r="D20" s="55" t="n">
        <v>0</v>
      </c>
      <c r="E20" s="55" t="n">
        <v>0</v>
      </c>
      <c r="F20" s="55" t="n">
        <v>0</v>
      </c>
      <c r="G20" s="55" t="n">
        <v>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4">
        <f>SUM(B20:M20)</f>
        <v/>
      </c>
    </row>
    <row r="21">
      <c r="A21" s="3" t="inlineStr">
        <is>
          <t>営業利益</t>
        </is>
      </c>
      <c r="B21" s="57">
        <f>B16-(B19+B20)</f>
        <v/>
      </c>
      <c r="C21" s="57">
        <f>C16-(C19+C20)</f>
        <v/>
      </c>
      <c r="D21" s="57">
        <f>D16-(D19+D20)</f>
        <v/>
      </c>
      <c r="E21" s="57">
        <f>E16-(E19+E20)</f>
        <v/>
      </c>
      <c r="F21" s="57">
        <f>F16-(F19+F20)</f>
        <v/>
      </c>
      <c r="G21" s="57">
        <f>G16-(G19+G20)</f>
        <v/>
      </c>
      <c r="H21" s="57">
        <f>H16-(H19+H20)</f>
        <v/>
      </c>
      <c r="I21" s="57">
        <f>I16-(I19+I20)</f>
        <v/>
      </c>
      <c r="J21" s="57">
        <f>J16-(J19+J20)</f>
        <v/>
      </c>
      <c r="K21" s="57">
        <f>K16-(K19+K20)</f>
        <v/>
      </c>
      <c r="L21" s="57">
        <f>L16-(L19+L20)</f>
        <v/>
      </c>
      <c r="M21" s="57">
        <f>M16-(M19+M20)</f>
        <v/>
      </c>
      <c r="N21" s="57">
        <f>SUM(B21:M21)</f>
        <v/>
      </c>
    </row>
    <row r="22">
      <c r="A22" s="3" t="inlineStr">
        <is>
          <t>営業利益率%</t>
        </is>
      </c>
      <c r="B22" s="58">
        <f>IF(B9=0,0,B21/B9)</f>
        <v/>
      </c>
      <c r="C22" s="58">
        <f>IF(C9=0,0,C21/C9)</f>
        <v/>
      </c>
      <c r="D22" s="58">
        <f>IF(D9=0,0,D21/D9)</f>
        <v/>
      </c>
      <c r="E22" s="58">
        <f>IF(E9=0,0,E21/E9)</f>
        <v/>
      </c>
      <c r="F22" s="58">
        <f>IF(F9=0,0,F21/F9)</f>
        <v/>
      </c>
      <c r="G22" s="58">
        <f>IF(G9=0,0,G21/G9)</f>
        <v/>
      </c>
      <c r="H22" s="58">
        <f>IF(H9=0,0,H21/H9)</f>
        <v/>
      </c>
      <c r="I22" s="58">
        <f>IF(I9=0,0,I21/I9)</f>
        <v/>
      </c>
      <c r="J22" s="58">
        <f>IF(J9=0,0,J21/J9)</f>
        <v/>
      </c>
      <c r="K22" s="58">
        <f>IF(K9=0,0,K21/K9)</f>
        <v/>
      </c>
      <c r="L22" s="58">
        <f>IF(L9=0,0,L21/L9)</f>
        <v/>
      </c>
      <c r="M22" s="58">
        <f>IF(M9=0,0,M21/M9)</f>
        <v/>
      </c>
      <c r="N22" s="58">
        <f>IF(N9=0,0,N21/N9)</f>
        <v/>
      </c>
    </row>
  </sheetData>
  <mergeCells count="5">
    <mergeCell ref="A18:N18"/>
    <mergeCell ref="A4:N4"/>
    <mergeCell ref="A2:N2"/>
    <mergeCell ref="A10:N10"/>
    <mergeCell ref="A1:N1"/>
  </mergeCells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style="37" min="1" max="1"/>
    <col width="14" customWidth="1" style="37" min="2" max="2"/>
    <col width="10" customWidth="1" style="37" min="3" max="3"/>
    <col width="10" customWidth="1" style="37" min="4" max="4"/>
    <col width="10" customWidth="1" style="37" min="5" max="5"/>
    <col width="10" customWidth="1" style="37" min="6" max="6"/>
    <col width="10" customWidth="1" style="37" min="7" max="7"/>
    <col width="10" customWidth="1" style="37" min="8" max="8"/>
    <col width="10" customWidth="1" style="37" min="9" max="9"/>
    <col width="10" customWidth="1" style="37" min="10" max="10"/>
    <col width="10" customWidth="1" style="37" min="11" max="11"/>
    <col width="10" customWidth="1" style="37" min="12" max="12"/>
    <col width="10" customWidth="1" style="37" min="13" max="13"/>
    <col width="10" customWidth="1" style="37" min="14" max="14"/>
    <col width="12" customWidth="1" style="37" min="15" max="15"/>
  </cols>
  <sheetData>
    <row r="1" ht="30" customHeight="1" s="37">
      <c r="A1" s="62" t="inlineStr">
        <is>
          <t>人員配置・人件費明細</t>
        </is>
      </c>
    </row>
    <row r="2">
      <c r="A2" s="63" t="inlineStr">
        <is>
          <t>（単位：円）</t>
        </is>
      </c>
    </row>
    <row r="3" ht="34.95" customHeight="1" s="37">
      <c r="A3" s="64" t="inlineStr">
        <is>
          <t>項目</t>
        </is>
      </c>
      <c r="B3" s="64" t="inlineStr">
        <is>
          <t>月額基準</t>
        </is>
      </c>
      <c r="C3" s="64" t="inlineStr">
        <is>
          <t>4月</t>
        </is>
      </c>
      <c r="D3" s="64" t="inlineStr">
        <is>
          <t>5月</t>
        </is>
      </c>
      <c r="E3" s="64" t="inlineStr">
        <is>
          <t>6月</t>
        </is>
      </c>
      <c r="F3" s="64" t="inlineStr">
        <is>
          <t>7月</t>
        </is>
      </c>
      <c r="G3" s="64" t="inlineStr">
        <is>
          <t>8月</t>
        </is>
      </c>
      <c r="H3" s="64" t="inlineStr">
        <is>
          <t>9月</t>
        </is>
      </c>
      <c r="I3" s="64" t="inlineStr">
        <is>
          <t>10月</t>
        </is>
      </c>
      <c r="J3" s="64" t="inlineStr">
        <is>
          <t>11月</t>
        </is>
      </c>
      <c r="K3" s="64" t="inlineStr">
        <is>
          <t>12月</t>
        </is>
      </c>
      <c r="L3" s="64" t="inlineStr">
        <is>
          <t>1月</t>
        </is>
      </c>
      <c r="M3" s="64" t="inlineStr">
        <is>
          <t>2月</t>
        </is>
      </c>
      <c r="N3" s="64" t="inlineStr">
        <is>
          <t>3月</t>
        </is>
      </c>
      <c r="O3" s="64" t="inlineStr">
        <is>
          <t>年間合計</t>
        </is>
      </c>
    </row>
    <row r="4">
      <c r="A4" s="65" t="inlineStr">
        <is>
          <t>松浦</t>
        </is>
      </c>
      <c r="B4" s="66" t="n">
        <v>3188000</v>
      </c>
      <c r="C4" s="66" t="n">
        <v>2231600</v>
      </c>
      <c r="D4" s="66" t="n">
        <v>1562120</v>
      </c>
      <c r="E4" s="66" t="n">
        <v>1093484</v>
      </c>
      <c r="F4" s="66" t="n">
        <v>3188000</v>
      </c>
      <c r="G4" s="66" t="n">
        <v>1275200</v>
      </c>
      <c r="H4" s="66" t="n">
        <v>1275200</v>
      </c>
      <c r="I4" s="66" t="n">
        <v>956400</v>
      </c>
      <c r="J4" s="66" t="n">
        <v>318800</v>
      </c>
      <c r="K4" s="66" t="n">
        <v>318800</v>
      </c>
      <c r="L4" s="66" t="n">
        <v>318800</v>
      </c>
      <c r="M4" s="66" t="n">
        <v>318800</v>
      </c>
      <c r="N4" s="66" t="n">
        <v>318800</v>
      </c>
      <c r="O4" s="67">
        <f>SUM(C4:N4)</f>
        <v/>
      </c>
    </row>
    <row r="5">
      <c r="A5" s="65" t="inlineStr">
        <is>
          <t>江口</t>
        </is>
      </c>
      <c r="B5" s="66" t="n">
        <v>1234000</v>
      </c>
      <c r="C5" s="66" t="n">
        <v>1110600</v>
      </c>
      <c r="D5" s="66" t="n">
        <v>999540</v>
      </c>
      <c r="E5" s="66" t="n">
        <v>899586</v>
      </c>
      <c r="F5" s="66" t="n">
        <v>1234000</v>
      </c>
      <c r="G5" s="66" t="n">
        <v>1234000</v>
      </c>
      <c r="H5" s="66" t="n">
        <v>1234000</v>
      </c>
      <c r="I5" s="66" t="n">
        <v>1110600</v>
      </c>
      <c r="J5" s="66" t="n">
        <v>1234000</v>
      </c>
      <c r="K5" s="66" t="n">
        <v>1234000</v>
      </c>
      <c r="L5" s="66" t="n">
        <v>1234000</v>
      </c>
      <c r="M5" s="66" t="n">
        <v>1234000</v>
      </c>
      <c r="N5" s="66" t="n">
        <v>1234000</v>
      </c>
      <c r="O5" s="67">
        <f>SUM(C5:N5)</f>
        <v/>
      </c>
    </row>
    <row r="6">
      <c r="A6" s="65" t="inlineStr">
        <is>
          <t>若宮</t>
        </is>
      </c>
      <c r="B6" s="66" t="n">
        <v>779000</v>
      </c>
      <c r="C6" s="66" t="n">
        <v>0</v>
      </c>
      <c r="D6" s="66" t="n">
        <v>0</v>
      </c>
      <c r="E6" s="66" t="n">
        <v>0</v>
      </c>
      <c r="F6" s="66" t="n">
        <v>0</v>
      </c>
      <c r="G6" s="66" t="n">
        <v>0</v>
      </c>
      <c r="H6" s="66" t="n">
        <v>0</v>
      </c>
      <c r="I6" s="66" t="n">
        <v>0</v>
      </c>
      <c r="J6" s="66" t="n">
        <v>779000</v>
      </c>
      <c r="K6" s="66" t="n">
        <v>584250</v>
      </c>
      <c r="L6" s="66" t="n">
        <v>584250</v>
      </c>
      <c r="M6" s="66" t="n">
        <v>779000</v>
      </c>
      <c r="N6" s="66" t="n">
        <v>779000</v>
      </c>
      <c r="O6" s="67">
        <f>SUM(C6:N6)</f>
        <v/>
      </c>
    </row>
    <row r="7">
      <c r="A7" s="68" t="inlineStr">
        <is>
          <t>合計</t>
        </is>
      </c>
      <c r="B7" s="69" t="n"/>
      <c r="C7" s="70">
        <f>SUM(C4:C6)</f>
        <v/>
      </c>
      <c r="D7" s="70">
        <f>SUM(D4:D6)</f>
        <v/>
      </c>
      <c r="E7" s="70">
        <f>SUM(E4:E6)</f>
        <v/>
      </c>
      <c r="F7" s="70">
        <f>SUM(F4:F6)</f>
        <v/>
      </c>
      <c r="G7" s="70">
        <f>SUM(G4:G6)</f>
        <v/>
      </c>
      <c r="H7" s="70">
        <f>SUM(H4:H6)</f>
        <v/>
      </c>
      <c r="I7" s="70">
        <f>SUM(I4:I6)</f>
        <v/>
      </c>
      <c r="J7" s="70">
        <f>SUM(J4:J6)</f>
        <v/>
      </c>
      <c r="K7" s="70">
        <f>SUM(K4:K6)</f>
        <v/>
      </c>
      <c r="L7" s="70">
        <f>SUM(L4:L6)</f>
        <v/>
      </c>
      <c r="M7" s="70">
        <f>SUM(M4:M6)</f>
        <v/>
      </c>
      <c r="N7" s="70">
        <f>SUM(N4:N6)</f>
        <v/>
      </c>
      <c r="O7" s="70">
        <f>SUM(C7:N7)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H7" sqref="H7"/>
    </sheetView>
  </sheetViews>
  <sheetFormatPr baseColWidth="8" defaultRowHeight="13.2"/>
  <cols>
    <col width="35" customWidth="1" style="37" min="1" max="1"/>
    <col width="10" customWidth="1" style="37" min="2" max="13"/>
    <col width="12" customWidth="1" style="37" min="14" max="14"/>
  </cols>
  <sheetData>
    <row r="1" ht="30" customHeight="1" s="37">
      <c r="A1" s="40" t="inlineStr">
        <is>
          <t>領域1: 社内向けSnowflake環境提供 明細</t>
        </is>
      </c>
    </row>
    <row r="2">
      <c r="A2" s="36" t="inlineStr">
        <is>
          <t>（単位：円 / ※参考指標は件数・アカウント数）</t>
        </is>
      </c>
    </row>
    <row r="3" ht="34.95" customHeight="1" s="37">
      <c r="A3" s="4" t="inlineStr">
        <is>
          <t>項目</t>
        </is>
      </c>
      <c r="B3" s="4" t="inlineStr">
        <is>
          <t>4月</t>
        </is>
      </c>
      <c r="C3" s="4" t="inlineStr">
        <is>
          <t>5月</t>
        </is>
      </c>
      <c r="D3" s="4" t="inlineStr">
        <is>
          <t>6月</t>
        </is>
      </c>
      <c r="E3" s="4" t="inlineStr">
        <is>
          <t>7月</t>
        </is>
      </c>
      <c r="F3" s="4" t="inlineStr">
        <is>
          <t>8月</t>
        </is>
      </c>
      <c r="G3" s="4" t="inlineStr">
        <is>
          <t>9月</t>
        </is>
      </c>
      <c r="H3" s="4" t="inlineStr">
        <is>
          <t>10月</t>
        </is>
      </c>
      <c r="I3" s="4" t="inlineStr">
        <is>
          <t>11月</t>
        </is>
      </c>
      <c r="J3" s="4" t="inlineStr">
        <is>
          <t>12月</t>
        </is>
      </c>
      <c r="K3" s="4" t="inlineStr">
        <is>
          <t>1月</t>
        </is>
      </c>
      <c r="L3" s="4" t="inlineStr">
        <is>
          <t>2月</t>
        </is>
      </c>
      <c r="M3" s="4" t="inlineStr">
        <is>
          <t>3月</t>
        </is>
      </c>
      <c r="N3" s="4" t="inlineStr">
        <is>
          <t>年間合計</t>
        </is>
      </c>
    </row>
    <row r="4">
      <c r="A4" s="39" t="inlineStr">
        <is>
          <t>【売上】</t>
        </is>
      </c>
      <c r="B4" s="34" t="n"/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5" t="n"/>
    </row>
    <row r="5">
      <c r="A5" s="2" t="inlineStr">
        <is>
          <t>仕入れ額（Snowflake請求額）</t>
        </is>
      </c>
      <c r="B5" s="55" t="n">
        <v>0</v>
      </c>
      <c r="C5" s="55" t="n">
        <v>0</v>
      </c>
      <c r="D5" s="55" t="n">
        <v>0</v>
      </c>
      <c r="E5" s="55" t="n">
        <v>0</v>
      </c>
      <c r="F5" s="55" t="n">
        <v>0</v>
      </c>
      <c r="G5" s="55" t="n">
        <v>0</v>
      </c>
      <c r="H5" s="55" t="n">
        <v>0</v>
      </c>
      <c r="I5" s="55" t="n">
        <v>0</v>
      </c>
      <c r="J5" s="55" t="n">
        <v>1566300</v>
      </c>
      <c r="K5" s="55" t="n"/>
      <c r="L5" s="71" t="n">
        <v>7679000</v>
      </c>
      <c r="M5" s="55" t="n">
        <v>0</v>
      </c>
      <c r="N5" s="54">
        <f>SUM(B5:M5)</f>
        <v/>
      </c>
    </row>
    <row r="6">
      <c r="A6" s="2" t="inlineStr">
        <is>
          <t>卸値（社内課金額）</t>
        </is>
      </c>
      <c r="B6" s="55" t="n">
        <v>150000</v>
      </c>
      <c r="C6" s="55" t="n">
        <v>150000</v>
      </c>
      <c r="D6" s="55" t="n">
        <v>150000</v>
      </c>
      <c r="E6" s="55" t="n">
        <v>49224</v>
      </c>
      <c r="F6" s="55" t="n">
        <v>170294</v>
      </c>
      <c r="G6" s="55" t="n">
        <v>23463</v>
      </c>
      <c r="H6" s="55">
        <f>234967-50000</f>
        <v/>
      </c>
      <c r="I6" s="55" t="n">
        <v>337469</v>
      </c>
      <c r="J6" s="55" t="n">
        <v>714659</v>
      </c>
      <c r="K6" s="55" t="n">
        <v>1043494</v>
      </c>
      <c r="L6" s="55" t="n">
        <v>928654</v>
      </c>
      <c r="M6" s="55" t="n">
        <v>0</v>
      </c>
      <c r="N6" s="54">
        <f>SUM(B6:M6)</f>
        <v/>
      </c>
    </row>
    <row r="7">
      <c r="A7" s="5" t="inlineStr">
        <is>
          <t>スプレッド収益（=卸値-仕入れ額）</t>
        </is>
      </c>
      <c r="B7" s="57">
        <f>B6-B5</f>
        <v/>
      </c>
      <c r="C7" s="57">
        <f>C6-C5</f>
        <v/>
      </c>
      <c r="D7" s="57">
        <f>D6-D5</f>
        <v/>
      </c>
      <c r="E7" s="57">
        <f>E6-E5</f>
        <v/>
      </c>
      <c r="F7" s="57">
        <f>F6-F5</f>
        <v/>
      </c>
      <c r="G7" s="57">
        <f>G6-G5</f>
        <v/>
      </c>
      <c r="H7" s="57">
        <f>H6-H5</f>
        <v/>
      </c>
      <c r="I7" s="57">
        <f>I6-I5</f>
        <v/>
      </c>
      <c r="J7" s="57">
        <f>J6-J5</f>
        <v/>
      </c>
      <c r="K7" s="57">
        <f>K6-K5</f>
        <v/>
      </c>
      <c r="L7" s="57">
        <f>L6-L5</f>
        <v/>
      </c>
      <c r="M7" s="57">
        <f>M6-M5</f>
        <v/>
      </c>
      <c r="N7" s="57">
        <f>SUM(B7:M7)</f>
        <v/>
      </c>
    </row>
    <row r="8">
      <c r="A8" s="2" t="inlineStr">
        <is>
          <t>技術サポート請求額</t>
        </is>
      </c>
      <c r="B8" s="55" t="n">
        <v>0</v>
      </c>
      <c r="C8" s="55" t="n">
        <v>0</v>
      </c>
      <c r="D8" s="55" t="n">
        <v>0</v>
      </c>
      <c r="E8" s="55" t="n">
        <v>0</v>
      </c>
      <c r="F8" s="55" t="n">
        <v>0</v>
      </c>
      <c r="G8" s="55" t="n">
        <v>0</v>
      </c>
      <c r="H8" s="55" t="n">
        <v>0</v>
      </c>
      <c r="I8" s="55" t="n">
        <v>0</v>
      </c>
      <c r="J8" s="55" t="n">
        <v>0</v>
      </c>
      <c r="K8" s="55" t="n">
        <v>0</v>
      </c>
      <c r="L8" s="55" t="n">
        <v>0</v>
      </c>
      <c r="M8" s="55" t="n">
        <v>0</v>
      </c>
      <c r="N8" s="54">
        <f>SUM(B8:M8)</f>
        <v/>
      </c>
    </row>
    <row r="9">
      <c r="A9" s="39" t="inlineStr">
        <is>
          <t>【原価・コスト】</t>
        </is>
      </c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5" t="n"/>
    </row>
    <row r="10">
      <c r="A10" s="5" t="inlineStr">
        <is>
          <t>Snowflakeへの支払額（=仕入れ額参照）</t>
        </is>
      </c>
      <c r="B10" s="57">
        <f>B5</f>
        <v/>
      </c>
      <c r="C10" s="57">
        <f>C5</f>
        <v/>
      </c>
      <c r="D10" s="57">
        <f>D5</f>
        <v/>
      </c>
      <c r="E10" s="57">
        <f>E5</f>
        <v/>
      </c>
      <c r="F10" s="57">
        <f>F5</f>
        <v/>
      </c>
      <c r="G10" s="57">
        <f>G5</f>
        <v/>
      </c>
      <c r="H10" s="57">
        <f>H5</f>
        <v/>
      </c>
      <c r="I10" s="57">
        <f>I5</f>
        <v/>
      </c>
      <c r="J10" s="57">
        <f>J5</f>
        <v/>
      </c>
      <c r="K10" s="57">
        <f>K5</f>
        <v/>
      </c>
      <c r="L10" s="57">
        <f>L5</f>
        <v/>
      </c>
      <c r="M10" s="57">
        <f>M5</f>
        <v/>
      </c>
      <c r="N10" s="57">
        <f>SUM(B10:M10)</f>
        <v/>
      </c>
    </row>
    <row r="11">
      <c r="A11" s="2" t="inlineStr">
        <is>
          <t>サポート対応人件費</t>
        </is>
      </c>
      <c r="B11" s="55" t="n">
        <v>0</v>
      </c>
      <c r="C11" s="55" t="n">
        <v>0</v>
      </c>
      <c r="D11" s="55" t="n">
        <v>0</v>
      </c>
      <c r="E11" s="55" t="n">
        <v>0</v>
      </c>
      <c r="F11" s="55" t="n">
        <v>0</v>
      </c>
      <c r="G11" s="55" t="n">
        <v>0</v>
      </c>
      <c r="H11" s="55" t="n">
        <v>0</v>
      </c>
      <c r="I11" s="55" t="n">
        <v>0</v>
      </c>
      <c r="J11" s="55" t="n">
        <v>0</v>
      </c>
      <c r="K11" s="55" t="n">
        <v>0</v>
      </c>
      <c r="L11" s="55" t="n">
        <v>0</v>
      </c>
      <c r="M11" s="55" t="n">
        <v>0</v>
      </c>
      <c r="N11" s="54">
        <f>SUM(B11:M11)</f>
        <v/>
      </c>
    </row>
    <row r="12">
      <c r="A12" s="39" t="inlineStr">
        <is>
          <t>【参考指標】</t>
        </is>
      </c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5" t="n"/>
    </row>
    <row r="13">
      <c r="A13" s="2" t="inlineStr">
        <is>
          <t>社内利用アカウント数（件）</t>
        </is>
      </c>
      <c r="B13" s="55" t="n">
        <v>0</v>
      </c>
      <c r="C13" s="55" t="n">
        <v>0</v>
      </c>
      <c r="D13" s="55" t="n">
        <v>0</v>
      </c>
      <c r="E13" s="55" t="n">
        <v>0</v>
      </c>
      <c r="F13" s="55" t="n">
        <v>0</v>
      </c>
      <c r="G13" s="55" t="n">
        <v>0</v>
      </c>
      <c r="H13" s="55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  <c r="N13" s="54">
        <f>SUM(B13:M13)</f>
        <v/>
      </c>
    </row>
    <row r="14">
      <c r="A14" s="2" t="inlineStr">
        <is>
          <t>サポートチケット件数（件）</t>
        </is>
      </c>
      <c r="B14" s="55" t="n">
        <v>0</v>
      </c>
      <c r="C14" s="55" t="n">
        <v>0</v>
      </c>
      <c r="D14" s="55" t="n">
        <v>0</v>
      </c>
      <c r="E14" s="55" t="n">
        <v>0</v>
      </c>
      <c r="F14" s="55" t="n">
        <v>0</v>
      </c>
      <c r="G14" s="55" t="n">
        <v>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4">
        <f>SUM(B14:M14)</f>
        <v/>
      </c>
    </row>
  </sheetData>
  <mergeCells count="5">
    <mergeCell ref="A9:N9"/>
    <mergeCell ref="A12:N12"/>
    <mergeCell ref="A4:N4"/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E20" sqref="E20"/>
    </sheetView>
  </sheetViews>
  <sheetFormatPr baseColWidth="8" defaultRowHeight="13.2"/>
  <cols>
    <col width="30" customWidth="1" style="37" min="1" max="1"/>
    <col width="25" customWidth="1" style="37" min="2" max="2"/>
    <col width="15" customWidth="1" style="37" min="3" max="3"/>
    <col width="8" customWidth="1" style="37" min="4" max="4"/>
    <col width="19.5546875" customWidth="1" style="37" min="5" max="5"/>
    <col width="12" customWidth="1" style="37" min="6" max="6"/>
    <col width="2" customWidth="1" style="37" min="7" max="7"/>
    <col width="12" customWidth="1" style="37" min="8" max="8"/>
    <col width="10" customWidth="1" style="37" min="9" max="9"/>
    <col width="20" customWidth="1" style="37" min="10" max="10"/>
  </cols>
  <sheetData>
    <row r="1" ht="30" customHeight="1" s="37">
      <c r="A1" s="43" t="inlineStr">
        <is>
          <t>領域2: プロジェクト参画 明細</t>
        </is>
      </c>
    </row>
    <row r="2">
      <c r="A2" s="36" t="inlineStr">
        <is>
          <t>（単位：千円 / 人月）</t>
        </is>
      </c>
    </row>
    <row r="3" ht="34.95" customHeight="1" s="37">
      <c r="A3" s="6" t="inlineStr">
        <is>
          <t>項目</t>
        </is>
      </c>
      <c r="B3" s="6" t="inlineStr">
        <is>
          <t>4月</t>
        </is>
      </c>
      <c r="C3" s="6" t="inlineStr">
        <is>
          <t>5月</t>
        </is>
      </c>
      <c r="D3" s="6" t="inlineStr">
        <is>
          <t>6月</t>
        </is>
      </c>
      <c r="E3" s="6" t="inlineStr">
        <is>
          <t>7月</t>
        </is>
      </c>
      <c r="F3" s="6" t="inlineStr">
        <is>
          <t>8月</t>
        </is>
      </c>
      <c r="G3" s="6" t="inlineStr">
        <is>
          <t>9月</t>
        </is>
      </c>
      <c r="H3" s="6" t="inlineStr">
        <is>
          <t>10月</t>
        </is>
      </c>
      <c r="I3" s="6" t="inlineStr">
        <is>
          <t>11月</t>
        </is>
      </c>
      <c r="J3" s="6" t="inlineStr">
        <is>
          <t>12月</t>
        </is>
      </c>
      <c r="K3" s="6" t="inlineStr">
        <is>
          <t>1月</t>
        </is>
      </c>
      <c r="L3" s="6" t="inlineStr">
        <is>
          <t>2月</t>
        </is>
      </c>
      <c r="M3" s="6" t="inlineStr">
        <is>
          <t>3月</t>
        </is>
      </c>
      <c r="N3" s="6" t="inlineStr">
        <is>
          <t>年間合計</t>
        </is>
      </c>
    </row>
    <row r="4">
      <c r="A4" s="41" t="inlineStr">
        <is>
          <t>【月次サマリー】</t>
        </is>
      </c>
      <c r="B4" s="34" t="n"/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5" t="n"/>
    </row>
    <row r="5">
      <c r="A5" s="2" t="inlineStr">
        <is>
          <t>参画プロジェクト数</t>
        </is>
      </c>
      <c r="B5" s="71" t="n">
        <v>1</v>
      </c>
      <c r="C5" s="71" t="n">
        <v>1</v>
      </c>
      <c r="D5" s="71" t="n">
        <v>1</v>
      </c>
      <c r="E5" s="71" t="n">
        <v>0</v>
      </c>
      <c r="F5" s="71" t="n">
        <v>2</v>
      </c>
      <c r="G5" s="71" t="n">
        <v>2</v>
      </c>
      <c r="H5" s="71" t="n">
        <v>3</v>
      </c>
      <c r="I5" s="71" t="n">
        <v>2</v>
      </c>
      <c r="J5" s="71" t="n">
        <v>3</v>
      </c>
      <c r="K5" s="71" t="n">
        <v>3</v>
      </c>
      <c r="L5" s="71" t="n">
        <v>2</v>
      </c>
      <c r="M5" s="71" t="n">
        <v>2</v>
      </c>
      <c r="N5" s="54">
        <f>SUM(B5:M5)</f>
        <v/>
      </c>
    </row>
    <row r="6">
      <c r="A6" s="2" t="inlineStr">
        <is>
          <t>売上（千円）</t>
        </is>
      </c>
      <c r="B6" s="71" t="n">
        <v>1300938</v>
      </c>
      <c r="C6" s="71" t="n">
        <v>1300938</v>
      </c>
      <c r="D6" s="71" t="n">
        <v>1300938</v>
      </c>
      <c r="E6" s="71" t="n">
        <v>0</v>
      </c>
      <c r="F6" s="71" t="n">
        <v>2216400</v>
      </c>
      <c r="G6" s="71" t="n">
        <v>2216400</v>
      </c>
      <c r="H6" s="71" t="n">
        <v>3517338</v>
      </c>
      <c r="I6" s="71" t="n">
        <v>3324600</v>
      </c>
      <c r="J6" s="71" t="n">
        <v>4248600</v>
      </c>
      <c r="K6" s="71" t="n">
        <v>4248600</v>
      </c>
      <c r="L6" s="71" t="n">
        <v>3324600</v>
      </c>
      <c r="M6" s="71" t="n">
        <v>3324600</v>
      </c>
      <c r="N6" s="54">
        <f>SUM(B6:M6)</f>
        <v/>
      </c>
    </row>
    <row r="7">
      <c r="A7" s="7" t="inlineStr">
        <is>
          <t>粗利（千円）</t>
        </is>
      </c>
      <c r="B7" s="72" t="n">
        <v>221138</v>
      </c>
      <c r="C7" s="72" t="n">
        <v>221138</v>
      </c>
      <c r="D7" s="72" t="n">
        <v>221138</v>
      </c>
      <c r="E7" s="72" t="n">
        <v>0</v>
      </c>
      <c r="F7" s="72" t="n">
        <v>303600</v>
      </c>
      <c r="G7" s="72" t="n">
        <v>303600</v>
      </c>
      <c r="H7" s="72" t="n">
        <v>524738</v>
      </c>
      <c r="I7" s="72" t="n">
        <v>455400</v>
      </c>
      <c r="J7" s="72" t="n">
        <v>1176650</v>
      </c>
      <c r="K7" s="72" t="n">
        <v>1176650</v>
      </c>
      <c r="L7" s="72" t="n">
        <v>455400</v>
      </c>
      <c r="M7" s="72" t="n">
        <v>455400</v>
      </c>
      <c r="N7" s="57">
        <f>SUM(B7:M7)</f>
        <v/>
      </c>
    </row>
    <row r="8">
      <c r="A8" s="7" t="inlineStr">
        <is>
          <t>粗利率</t>
        </is>
      </c>
      <c r="B8" s="58">
        <f>IF(B6&gt;0,B7/B6,"-")</f>
        <v/>
      </c>
      <c r="C8" s="58">
        <f>IF(C6&gt;0,C7/C6,"-")</f>
        <v/>
      </c>
      <c r="D8" s="58">
        <f>IF(D6&gt;0,D7/D6,"-")</f>
        <v/>
      </c>
      <c r="E8" s="58">
        <f>IF(E6&gt;0,E7/E6,"-")</f>
        <v/>
      </c>
      <c r="F8" s="58">
        <f>IF(F6&gt;0,F7/F6,"-")</f>
        <v/>
      </c>
      <c r="G8" s="58">
        <f>IF(G6&gt;0,G7/G6,"-")</f>
        <v/>
      </c>
      <c r="H8" s="58">
        <f>IF(H6&gt;0,H7/H6,"-")</f>
        <v/>
      </c>
      <c r="I8" s="58">
        <f>IF(I6&gt;0,I7/I6,"-")</f>
        <v/>
      </c>
      <c r="J8" s="58">
        <f>IF(J6&gt;0,J7/J6,"-")</f>
        <v/>
      </c>
      <c r="K8" s="58">
        <f>IF(K6&gt;0,K7/K6,"-")</f>
        <v/>
      </c>
      <c r="L8" s="58">
        <f>IF(L6&gt;0,L7/L6,"-")</f>
        <v/>
      </c>
      <c r="M8" s="58">
        <f>IF(M6&gt;0,M7/M6,"-")</f>
        <v/>
      </c>
      <c r="N8" s="58">
        <f>IF(N6&gt;0,N7/N6,"-")</f>
        <v/>
      </c>
    </row>
    <row r="10" ht="13.8" customHeight="1" s="37">
      <c r="A10" s="19" t="inlineStr">
        <is>
          <t>【プロジェクト一覧】</t>
        </is>
      </c>
      <c r="B10" s="34" t="n"/>
      <c r="C10" s="34" t="n"/>
      <c r="D10" s="34" t="n"/>
      <c r="E10" s="34" t="n"/>
      <c r="F10" s="34" t="n"/>
      <c r="G10" s="34" t="n"/>
      <c r="H10" s="34" t="n"/>
      <c r="I10" s="34" t="n"/>
      <c r="J10" s="35" t="n"/>
    </row>
    <row r="11" ht="27.6" customHeight="1" s="37">
      <c r="A11" s="6" t="inlineStr">
        <is>
          <t>No</t>
        </is>
      </c>
      <c r="B11" s="6" t="inlineStr">
        <is>
          <t>プロジェクト名</t>
        </is>
      </c>
      <c r="C11" s="6" t="inlineStr">
        <is>
          <t>事業部</t>
        </is>
      </c>
      <c r="D11" s="6" t="inlineStr">
        <is>
          <t>開始月</t>
        </is>
      </c>
      <c r="E11" s="6" t="inlineStr">
        <is>
          <t>終了月</t>
        </is>
      </c>
      <c r="F11" s="6" t="inlineStr">
        <is>
          <t>売上（千円）</t>
        </is>
      </c>
      <c r="G11" s="6" t="n"/>
      <c r="H11" s="6" t="inlineStr">
        <is>
          <t>粗利（千円）</t>
        </is>
      </c>
      <c r="I11" s="6" t="inlineStr">
        <is>
          <t>粗利率</t>
        </is>
      </c>
      <c r="J11" s="6" t="inlineStr">
        <is>
          <t>備考</t>
        </is>
      </c>
    </row>
    <row r="12" ht="13.8" customHeight="1" s="37">
      <c r="A12" s="42" t="n">
        <v>1</v>
      </c>
      <c r="B12" s="34" t="n"/>
      <c r="C12" s="34" t="n"/>
      <c r="D12" s="34" t="n"/>
      <c r="E12" s="34" t="n"/>
      <c r="F12" s="34" t="n"/>
      <c r="G12" s="34" t="n"/>
      <c r="H12" s="34" t="n"/>
      <c r="I12" s="34" t="n"/>
      <c r="J12" s="35" t="n"/>
    </row>
    <row r="13" ht="27.6" customHeight="1" s="37">
      <c r="A13" s="42" t="n">
        <v>2</v>
      </c>
      <c r="B13" s="12" t="inlineStr">
        <is>
          <t>WP支援</t>
        </is>
      </c>
      <c r="C13" s="9" t="n"/>
      <c r="D13" s="13" t="n">
        <v>45931</v>
      </c>
      <c r="E13" s="13" t="n">
        <v>45931</v>
      </c>
      <c r="F13" s="73" t="n">
        <v>1300938</v>
      </c>
      <c r="G13" s="71" t="n"/>
      <c r="H13" s="71" t="n">
        <v>221138</v>
      </c>
      <c r="I13" s="74">
        <f>IF(F15&gt;0,H15/F15,"-")</f>
        <v/>
      </c>
      <c r="J13" s="9" t="n"/>
    </row>
    <row r="14" ht="13.8" customHeight="1" s="37">
      <c r="A14" s="42" t="n">
        <v>3</v>
      </c>
      <c r="B14" s="15" t="inlineStr">
        <is>
          <t>セマンティックレイヤR＆D支援</t>
        </is>
      </c>
      <c r="C14" s="9" t="n"/>
      <c r="D14" s="13" t="n">
        <v>45992</v>
      </c>
      <c r="E14" s="13" t="n">
        <v>46023</v>
      </c>
      <c r="F14" s="73" t="n">
        <v>1848000</v>
      </c>
      <c r="G14" s="71" t="n"/>
      <c r="H14" s="71" t="n">
        <v>1442500</v>
      </c>
      <c r="I14" s="74">
        <f>IF(F16&gt;0,H16/F16,"-")</f>
        <v/>
      </c>
      <c r="J14" s="9" t="n"/>
    </row>
    <row r="15" ht="13.8" customHeight="1" s="37">
      <c r="A15" s="42" t="n">
        <v>4</v>
      </c>
      <c r="B15" s="12" t="inlineStr">
        <is>
          <t>SMTB支援</t>
        </is>
      </c>
      <c r="C15" s="9" t="n"/>
      <c r="D15" s="13" t="n">
        <v>45870</v>
      </c>
      <c r="E15" s="13" t="n">
        <v>46082</v>
      </c>
      <c r="F15" s="73" t="n">
        <v>11820800</v>
      </c>
      <c r="G15" s="71" t="n"/>
      <c r="H15" s="71" t="n">
        <v>1619200</v>
      </c>
      <c r="I15" s="74">
        <f>IF(F17&gt;0,H17/F17,"-")</f>
        <v/>
      </c>
      <c r="J15" s="9" t="n"/>
    </row>
    <row r="16" ht="13.8" customHeight="1" s="37">
      <c r="A16" s="42" t="n">
        <v>5</v>
      </c>
      <c r="B16" s="12" t="inlineStr">
        <is>
          <t>ScalarDB支援</t>
        </is>
      </c>
      <c r="C16" s="9" t="n"/>
      <c r="D16" s="13" t="n">
        <v>45870</v>
      </c>
      <c r="E16" s="13" t="n">
        <v>45931</v>
      </c>
      <c r="F16" s="73" t="n">
        <v>2216400</v>
      </c>
      <c r="G16" s="71" t="n"/>
      <c r="H16" s="71" t="n">
        <v>303600</v>
      </c>
      <c r="I16" s="74">
        <f>IF(F18&gt;0,H18/F18,"-")</f>
        <v/>
      </c>
      <c r="J16" s="9" t="n"/>
    </row>
    <row r="17" ht="13.8" customHeight="1" s="37">
      <c r="A17" s="42" t="n">
        <v>6</v>
      </c>
      <c r="B17" s="12" t="inlineStr">
        <is>
          <t>WP支援</t>
        </is>
      </c>
      <c r="C17" s="9" t="n"/>
      <c r="D17" s="13" t="n">
        <v>45962</v>
      </c>
      <c r="E17" s="13" t="n">
        <v>46082</v>
      </c>
      <c r="F17" s="73" t="n">
        <v>9235000</v>
      </c>
      <c r="G17" s="71" t="n"/>
      <c r="H17" s="71" t="n">
        <v>1265000</v>
      </c>
      <c r="I17" s="74">
        <f>IF(F19&gt;0,H19/F19,"-")</f>
        <v/>
      </c>
      <c r="J17" s="9" t="n"/>
    </row>
    <row r="18" ht="13.8" customHeight="1" s="37">
      <c r="A18" s="42" t="n">
        <v>7</v>
      </c>
      <c r="B18" s="9" t="n"/>
      <c r="C18" s="9" t="n"/>
      <c r="D18" s="9" t="n"/>
      <c r="E18" s="14" t="n"/>
      <c r="F18" s="75" t="n">
        <v>0</v>
      </c>
      <c r="G18" s="55" t="n"/>
      <c r="H18" s="55" t="n">
        <v>0</v>
      </c>
      <c r="I18" s="74">
        <f>IF(F18=0,0,H18/F18)</f>
        <v/>
      </c>
      <c r="J18" s="9" t="n"/>
    </row>
    <row r="19" ht="13.8" customHeight="1" s="37">
      <c r="A19" s="42" t="n">
        <v>8</v>
      </c>
      <c r="B19" s="9" t="n"/>
      <c r="C19" s="9" t="n"/>
      <c r="D19" s="9" t="n"/>
      <c r="E19" s="14" t="n"/>
      <c r="F19" s="75" t="n">
        <v>0</v>
      </c>
      <c r="G19" s="55" t="n"/>
      <c r="H19" s="55" t="n">
        <v>0</v>
      </c>
      <c r="I19" s="74">
        <f>IF(F19=0,0,H19/F19)</f>
        <v/>
      </c>
      <c r="J19" s="9" t="n"/>
    </row>
    <row r="20" ht="13.8" customHeight="1" s="37">
      <c r="A20" s="42" t="n">
        <v>9</v>
      </c>
      <c r="B20" s="9" t="n"/>
      <c r="C20" s="9" t="n"/>
      <c r="D20" s="9" t="n"/>
      <c r="E20" s="14" t="n"/>
      <c r="F20" s="75" t="n">
        <v>0</v>
      </c>
      <c r="G20" s="55" t="n"/>
      <c r="H20" s="55" t="n">
        <v>0</v>
      </c>
      <c r="I20" s="74">
        <f>IF(F20=0,0,H20/F20)</f>
        <v/>
      </c>
      <c r="J20" s="9" t="n"/>
    </row>
    <row r="21" ht="13.8" customHeight="1" s="37">
      <c r="A21" s="42" t="n">
        <v>10</v>
      </c>
      <c r="B21" s="9" t="n"/>
      <c r="C21" s="9" t="n"/>
      <c r="D21" s="9" t="n"/>
      <c r="E21" s="14" t="n"/>
      <c r="F21" s="75" t="n">
        <v>0</v>
      </c>
      <c r="G21" s="55" t="n"/>
      <c r="H21" s="55" t="n">
        <v>0</v>
      </c>
      <c r="I21" s="74">
        <f>IF(F21=0,0,H21/F21)</f>
        <v/>
      </c>
      <c r="J21" s="9" t="n"/>
    </row>
    <row r="22" ht="13.8" customHeight="1" s="37"/>
    <row r="23" ht="13.8" customHeight="1" s="37"/>
  </sheetData>
  <mergeCells count="4">
    <mergeCell ref="A4:N4"/>
    <mergeCell ref="A12:J12"/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N1"/>
    </sheetView>
  </sheetViews>
  <sheetFormatPr baseColWidth="8" defaultRowHeight="13.2"/>
  <cols>
    <col width="28" customWidth="1" style="37" min="1" max="1"/>
    <col width="25" customWidth="1" style="37" min="2" max="2"/>
    <col width="12" customWidth="1" style="37" min="3" max="3"/>
    <col width="18" customWidth="1" style="37" min="4" max="5"/>
    <col width="20" customWidth="1" style="37" min="6" max="6"/>
    <col width="10" customWidth="1" style="37" min="7" max="7"/>
    <col width="20" customWidth="1" style="37" min="8" max="8"/>
  </cols>
  <sheetData>
    <row r="1" ht="30" customHeight="1" s="37">
      <c r="A1" s="46" t="inlineStr">
        <is>
          <t>領域3: ベンダーインセンティブ 明細</t>
        </is>
      </c>
    </row>
    <row r="2">
      <c r="A2" s="36" t="inlineStr">
        <is>
          <t>（単位：円）</t>
        </is>
      </c>
    </row>
    <row r="3" ht="34.95" customHeight="1" s="37">
      <c r="A3" s="10" t="inlineStr">
        <is>
          <t>項目</t>
        </is>
      </c>
      <c r="B3" s="10" t="inlineStr">
        <is>
          <t>4月</t>
        </is>
      </c>
      <c r="C3" s="10" t="inlineStr">
        <is>
          <t>5月</t>
        </is>
      </c>
      <c r="D3" s="10" t="inlineStr">
        <is>
          <t>6月</t>
        </is>
      </c>
      <c r="E3" s="10" t="inlineStr">
        <is>
          <t>7月</t>
        </is>
      </c>
      <c r="F3" s="10" t="inlineStr">
        <is>
          <t>8月</t>
        </is>
      </c>
      <c r="G3" s="10" t="inlineStr">
        <is>
          <t>9月</t>
        </is>
      </c>
      <c r="H3" s="10" t="inlineStr">
        <is>
          <t>10月</t>
        </is>
      </c>
      <c r="I3" s="10" t="inlineStr">
        <is>
          <t>11月</t>
        </is>
      </c>
      <c r="J3" s="10" t="inlineStr">
        <is>
          <t>12月</t>
        </is>
      </c>
      <c r="K3" s="10" t="inlineStr">
        <is>
          <t>1月</t>
        </is>
      </c>
      <c r="L3" s="10" t="inlineStr">
        <is>
          <t>2月</t>
        </is>
      </c>
      <c r="M3" s="10" t="inlineStr">
        <is>
          <t>3月</t>
        </is>
      </c>
      <c r="N3" s="10" t="inlineStr">
        <is>
          <t>年間合計</t>
        </is>
      </c>
    </row>
    <row r="4">
      <c r="A4" s="44" t="inlineStr">
        <is>
          <t>【月次サマリー】</t>
        </is>
      </c>
      <c r="B4" s="34" t="n"/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5" t="n"/>
    </row>
    <row r="5">
      <c r="A5" s="2" t="inlineStr">
        <is>
          <t>NRI商流顧客数（累計）</t>
        </is>
      </c>
      <c r="B5" s="53" t="n">
        <v>2</v>
      </c>
      <c r="C5" s="53" t="n">
        <v>2</v>
      </c>
      <c r="D5" s="53" t="n">
        <v>2</v>
      </c>
      <c r="E5" s="53" t="n">
        <v>2</v>
      </c>
      <c r="F5" s="53" t="n">
        <v>2</v>
      </c>
      <c r="G5" s="53" t="n">
        <v>2</v>
      </c>
      <c r="H5" s="53" t="n">
        <v>2</v>
      </c>
      <c r="I5" s="53" t="n">
        <v>2</v>
      </c>
      <c r="J5" s="53" t="n">
        <v>2</v>
      </c>
      <c r="K5" s="53" t="n">
        <v>2</v>
      </c>
      <c r="L5" s="53" t="n">
        <v>2</v>
      </c>
      <c r="M5" s="53" t="n">
        <v>2</v>
      </c>
      <c r="N5" s="54">
        <f>SUM(B5:M5)</f>
        <v/>
      </c>
    </row>
    <row r="6">
      <c r="A6" s="2" t="inlineStr">
        <is>
          <t>顧客総契約金額（売上合計）</t>
        </is>
      </c>
      <c r="B6" s="53" t="n">
        <v>770979</v>
      </c>
      <c r="C6" s="53" t="n">
        <v>770979</v>
      </c>
      <c r="D6" s="53" t="n">
        <v>770979</v>
      </c>
      <c r="E6" s="53" t="n">
        <v>770979</v>
      </c>
      <c r="F6" s="53" t="n">
        <v>770979</v>
      </c>
      <c r="G6" s="53" t="n">
        <v>770979</v>
      </c>
      <c r="H6" s="53" t="n">
        <v>767812</v>
      </c>
      <c r="I6" s="53" t="n">
        <v>767812</v>
      </c>
      <c r="J6" s="53" t="n">
        <v>767812</v>
      </c>
      <c r="K6" s="53" t="n">
        <v>767812</v>
      </c>
      <c r="L6" s="53" t="n">
        <v>767812</v>
      </c>
      <c r="M6" s="53" t="n">
        <v>767812</v>
      </c>
      <c r="N6" s="54">
        <f>C12+C13+C14</f>
        <v/>
      </c>
    </row>
    <row r="7">
      <c r="A7" s="2" t="inlineStr">
        <is>
          <t>受取インセンティブ（利益合計）</t>
        </is>
      </c>
      <c r="B7" s="53" t="n">
        <v>204374</v>
      </c>
      <c r="C7" s="53" t="n">
        <v>204374</v>
      </c>
      <c r="D7" s="53" t="n">
        <v>204374</v>
      </c>
      <c r="E7" s="53" t="n">
        <v>204374</v>
      </c>
      <c r="F7" s="53" t="n">
        <v>204374</v>
      </c>
      <c r="G7" s="53" t="n">
        <v>204374</v>
      </c>
      <c r="H7" s="53" t="n">
        <v>176507</v>
      </c>
      <c r="I7" s="53" t="n">
        <v>176507</v>
      </c>
      <c r="J7" s="53" t="n">
        <v>176507</v>
      </c>
      <c r="K7" s="53" t="n">
        <v>176507</v>
      </c>
      <c r="L7" s="53" t="n">
        <v>176507</v>
      </c>
      <c r="M7" s="53" t="n">
        <v>176507</v>
      </c>
      <c r="N7" s="54">
        <f>E12+E13+E14</f>
        <v/>
      </c>
    </row>
    <row r="8">
      <c r="A8" s="7" t="inlineStr">
        <is>
          <t>インセンティブ率%</t>
        </is>
      </c>
      <c r="B8" s="58">
        <f>IF(B6=0,0,B7/B6)</f>
        <v/>
      </c>
      <c r="C8" s="58">
        <f>IF(C6=0,0,C7/C6)</f>
        <v/>
      </c>
      <c r="D8" s="58">
        <f>IF(D6=0,0,D7/D6)</f>
        <v/>
      </c>
      <c r="E8" s="58">
        <f>IF(E6=0,0,E7/E6)</f>
        <v/>
      </c>
      <c r="F8" s="58">
        <f>IF(F6=0,0,F7/F6)</f>
        <v/>
      </c>
      <c r="G8" s="58">
        <f>IF(G6=0,0,G7/G6)</f>
        <v/>
      </c>
      <c r="H8" s="58">
        <f>IF(H6=0,0,H7/H6)</f>
        <v/>
      </c>
      <c r="I8" s="58">
        <f>IF(I6=0,0,I7/I6)</f>
        <v/>
      </c>
      <c r="J8" s="58">
        <f>IF(J6=0,0,J7/J6)</f>
        <v/>
      </c>
      <c r="K8" s="58">
        <f>IF(K6=0,0,K7/K6)</f>
        <v/>
      </c>
      <c r="L8" s="58">
        <f>IF(L6=0,0,L7/L6)</f>
        <v/>
      </c>
      <c r="M8" s="58">
        <f>IF(M6=0,0,M7/M6)</f>
        <v/>
      </c>
      <c r="N8" s="58">
        <f>IF(N6=0,0,N7/N6)</f>
        <v/>
      </c>
    </row>
    <row r="10" ht="13.8" customHeight="1" s="37">
      <c r="A10" s="45" t="inlineStr">
        <is>
          <t>【顧客一覧】</t>
        </is>
      </c>
      <c r="B10" s="34" t="n"/>
      <c r="C10" s="34" t="n"/>
      <c r="D10" s="34" t="n"/>
      <c r="E10" s="34" t="n"/>
      <c r="F10" s="34" t="n"/>
      <c r="G10" s="34" t="n"/>
      <c r="H10" s="35" t="n"/>
    </row>
    <row r="11" ht="27.6" customHeight="1" s="37">
      <c r="A11" s="10" t="inlineStr">
        <is>
          <t>No</t>
        </is>
      </c>
      <c r="B11" s="10" t="inlineStr">
        <is>
          <t>案件名</t>
        </is>
      </c>
      <c r="C11" s="10" t="inlineStr">
        <is>
          <t>売上（円）</t>
        </is>
      </c>
      <c r="D11" s="10" t="inlineStr">
        <is>
          <t>仕入れ（円）</t>
        </is>
      </c>
      <c r="E11" s="10" t="inlineStr">
        <is>
          <t>利益（円）</t>
        </is>
      </c>
      <c r="F11" s="10" t="inlineStr">
        <is>
          <t>利益率（%）</t>
        </is>
      </c>
      <c r="G11" s="10" t="inlineStr">
        <is>
          <t>備考</t>
        </is>
      </c>
      <c r="H11" s="10" t="n"/>
    </row>
    <row r="12" ht="13.8" customHeight="1" s="37">
      <c r="A12" s="42" t="n">
        <v>1</v>
      </c>
      <c r="B12" s="11" t="inlineStr">
        <is>
          <t>JFE</t>
        </is>
      </c>
      <c r="C12" s="32" t="n">
        <v>1359890</v>
      </c>
      <c r="D12" s="53" t="n">
        <v>27198</v>
      </c>
      <c r="E12" s="76">
        <f>C12-D12</f>
        <v/>
      </c>
      <c r="F12" s="54">
        <f>IFERROR(E12/C12,"-")</f>
        <v/>
      </c>
      <c r="G12" s="11" t="inlineStr">
        <is>
          <t>支払い先：ITアウトソーシング部</t>
        </is>
      </c>
      <c r="H12" s="11" t="n"/>
    </row>
    <row r="13" ht="13.8" customHeight="1" s="37">
      <c r="A13" s="42" t="n">
        <v>2</v>
      </c>
      <c r="B13" s="11" t="inlineStr">
        <is>
          <t>上期JAL</t>
        </is>
      </c>
      <c r="C13" s="32" t="n">
        <v>3945931</v>
      </c>
      <c r="D13" s="53" t="n">
        <v>3386037</v>
      </c>
      <c r="E13" s="76">
        <f>C13-D13</f>
        <v/>
      </c>
      <c r="F13" s="54">
        <f>IFERROR(E13/C13,"-")</f>
        <v/>
      </c>
      <c r="G13" s="11" t="n"/>
      <c r="H13" s="11" t="n"/>
    </row>
    <row r="14" ht="13.8" customHeight="1" s="37">
      <c r="A14" s="42" t="n">
        <v>3</v>
      </c>
      <c r="B14" s="11" t="inlineStr">
        <is>
          <t>下期JAL</t>
        </is>
      </c>
      <c r="C14" s="32" t="n">
        <v>3926930</v>
      </c>
      <c r="D14" s="53" t="n">
        <v>3534237</v>
      </c>
      <c r="E14" s="76">
        <f>C14-D14</f>
        <v/>
      </c>
      <c r="F14" s="54">
        <f>IFERROR(E14/C14,"-")</f>
        <v/>
      </c>
      <c r="G14" s="11" t="n"/>
      <c r="H14" s="11" t="n"/>
    </row>
    <row r="15" ht="13.8" customHeight="1" s="37">
      <c r="A15" s="42" t="n"/>
      <c r="B15" s="11" t="n"/>
      <c r="C15" s="11" t="n"/>
      <c r="D15" s="55" t="n"/>
      <c r="E15" s="76" t="n"/>
      <c r="F15" s="54" t="n"/>
      <c r="G15" s="11" t="n"/>
      <c r="H15" s="11" t="n"/>
    </row>
    <row r="16" ht="13.8" customHeight="1" s="37">
      <c r="A16" s="42" t="n"/>
      <c r="B16" s="11" t="n"/>
      <c r="C16" s="11" t="n"/>
      <c r="D16" s="55" t="n"/>
      <c r="E16" s="76" t="n"/>
      <c r="F16" s="54" t="n"/>
      <c r="G16" s="11" t="n"/>
      <c r="H16" s="11" t="n"/>
    </row>
    <row r="17" ht="13.8" customHeight="1" s="37">
      <c r="A17" s="42" t="n"/>
      <c r="B17" s="11" t="n"/>
      <c r="C17" s="11" t="n"/>
      <c r="D17" s="55" t="n"/>
      <c r="E17" s="76" t="n"/>
      <c r="F17" s="54" t="n"/>
      <c r="G17" s="11" t="n"/>
      <c r="H17" s="11" t="n"/>
    </row>
    <row r="18" ht="13.8" customHeight="1" s="37">
      <c r="A18" s="42" t="n"/>
      <c r="B18" s="11" t="n"/>
      <c r="C18" s="11" t="n"/>
      <c r="D18" s="55" t="n"/>
      <c r="E18" s="76" t="n"/>
      <c r="F18" s="54" t="n"/>
      <c r="G18" s="11" t="n"/>
      <c r="H18" s="11" t="n"/>
    </row>
    <row r="19" ht="13.8" customHeight="1" s="37">
      <c r="A19" s="42" t="n"/>
      <c r="B19" s="11" t="n"/>
      <c r="C19" s="11" t="n"/>
      <c r="D19" s="55" t="n"/>
      <c r="E19" s="76" t="n"/>
      <c r="F19" s="54" t="n"/>
      <c r="G19" s="11" t="n"/>
      <c r="H19" s="11" t="n"/>
    </row>
    <row r="20" ht="13.8" customHeight="1" s="37">
      <c r="A20" s="42" t="n"/>
      <c r="B20" s="11" t="n"/>
      <c r="C20" s="11" t="n"/>
      <c r="D20" s="55" t="n"/>
      <c r="E20" s="76" t="n"/>
      <c r="F20" s="54" t="n"/>
      <c r="G20" s="11" t="n"/>
      <c r="H20" s="11" t="n"/>
    </row>
    <row r="21" ht="13.8" customHeight="1" s="37">
      <c r="A21" s="42" t="n"/>
      <c r="B21" s="11" t="n"/>
      <c r="C21" s="11" t="n"/>
      <c r="D21" s="55" t="n"/>
      <c r="E21" s="76" t="n"/>
      <c r="F21" s="54" t="n"/>
      <c r="G21" s="11" t="n"/>
      <c r="H21" s="11" t="n"/>
    </row>
    <row r="22" ht="13.8" customHeight="1" s="37">
      <c r="A22" s="42" t="n"/>
      <c r="B22" s="11" t="n"/>
      <c r="C22" s="11" t="n"/>
      <c r="D22" s="55" t="n"/>
      <c r="E22" s="76" t="n"/>
      <c r="F22" s="54" t="n"/>
      <c r="G22" s="11" t="n"/>
      <c r="H22" s="11" t="n"/>
    </row>
    <row r="23" ht="13.8" customHeight="1" s="37">
      <c r="A23" s="42" t="n"/>
      <c r="B23" s="11" t="n"/>
      <c r="C23" s="11" t="n"/>
      <c r="D23" s="55" t="n"/>
      <c r="E23" s="76" t="n"/>
      <c r="F23" s="54" t="n"/>
      <c r="G23" s="11" t="n"/>
      <c r="H23" s="11" t="n"/>
    </row>
    <row r="24" ht="13.8" customHeight="1" s="37">
      <c r="A24" s="42" t="n"/>
      <c r="B24" s="11" t="n"/>
      <c r="C24" s="11" t="n"/>
      <c r="D24" s="55" t="n"/>
      <c r="E24" s="76" t="n"/>
      <c r="F24" s="54" t="n"/>
      <c r="G24" s="11" t="n"/>
      <c r="H24" s="11" t="n"/>
    </row>
    <row r="25" ht="13.8" customHeight="1" s="37">
      <c r="A25" s="42" t="n"/>
      <c r="B25" s="11" t="n"/>
      <c r="C25" s="11" t="n"/>
      <c r="D25" s="55" t="n"/>
      <c r="E25" s="76" t="n"/>
      <c r="F25" s="54" t="n"/>
      <c r="G25" s="11" t="n"/>
      <c r="H25" s="11" t="n"/>
    </row>
    <row r="26" ht="13.8" customHeight="1" s="37">
      <c r="A26" s="42" t="n"/>
      <c r="B26" s="11" t="n"/>
      <c r="C26" s="11" t="n"/>
      <c r="D26" s="55" t="n"/>
      <c r="E26" s="76" t="n"/>
      <c r="F26" s="54" t="n"/>
      <c r="G26" s="11" t="n"/>
      <c r="H26" s="11" t="n"/>
    </row>
  </sheetData>
  <mergeCells count="4">
    <mergeCell ref="A4:N4"/>
    <mergeCell ref="A2:N2"/>
    <mergeCell ref="A10:H10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2" topLeftCell="A3" activePane="bottomLeft" state="frozen"/>
      <selection pane="bottomLeft" activeCell="A1" sqref="A1:F1"/>
    </sheetView>
  </sheetViews>
  <sheetFormatPr baseColWidth="8" defaultRowHeight="13.2"/>
  <cols>
    <col width="22" customWidth="1" style="37" min="1" max="1"/>
    <col width="40" customWidth="1" style="37" min="2" max="2"/>
    <col width="35" customWidth="1" style="37" min="3" max="3"/>
    <col width="25" customWidth="1" style="37" min="4" max="6"/>
  </cols>
  <sheetData>
    <row r="1" ht="36" customHeight="1" s="37">
      <c r="A1" s="52" t="inlineStr">
        <is>
          <t>データ入力ガイド</t>
        </is>
      </c>
    </row>
    <row r="2" ht="22.05" customHeight="1" s="37">
      <c r="A2" s="50" t="inlineStr">
        <is>
          <t>■ このファイルの概要</t>
        </is>
      </c>
      <c r="B2" s="34" t="n"/>
      <c r="C2" s="34" t="n"/>
      <c r="D2" s="34" t="n"/>
      <c r="E2" s="34" t="n"/>
      <c r="F2" s="35" t="n"/>
    </row>
    <row r="3" ht="18" customHeight="1" s="37">
      <c r="A3" s="48" t="inlineStr">
        <is>
          <t>本ファイルはSnowflake事業の2025年度 損益計算書（P&amp;L）管理ツールです。</t>
        </is>
      </c>
      <c r="B3" s="34" t="n"/>
      <c r="C3" s="34" t="n"/>
      <c r="D3" s="34" t="n"/>
      <c r="E3" s="34" t="n"/>
      <c r="F3" s="35" t="n"/>
    </row>
    <row r="4" ht="18" customHeight="1" s="37">
      <c r="A4" s="48" t="inlineStr">
        <is>
          <t>各領域シートにデータを入力し、P&amp;Lサマリーシートで事業全体の損益を把握します。</t>
        </is>
      </c>
      <c r="B4" s="34" t="n"/>
      <c r="C4" s="34" t="n"/>
      <c r="D4" s="34" t="n"/>
      <c r="E4" s="34" t="n"/>
      <c r="F4" s="35" t="n"/>
    </row>
    <row r="5" ht="7.95" customHeight="1" s="37"/>
    <row r="6" ht="22.05" customHeight="1" s="37">
      <c r="A6" s="50" t="inlineStr">
        <is>
          <t>■ データ入力の流れ</t>
        </is>
      </c>
      <c r="B6" s="34" t="n"/>
      <c r="C6" s="34" t="n"/>
      <c r="D6" s="34" t="n"/>
      <c r="E6" s="34" t="n"/>
      <c r="F6" s="35" t="n"/>
    </row>
    <row r="7" ht="18" customHeight="1" s="37">
      <c r="A7" s="47" t="inlineStr">
        <is>
          <t>Step 1: 【領域1_環境提供】シートに毎月の環境提供データを入力</t>
        </is>
      </c>
      <c r="B7" s="34" t="n"/>
      <c r="C7" s="34" t="n"/>
      <c r="D7" s="34" t="n"/>
      <c r="E7" s="34" t="n"/>
      <c r="F7" s="35" t="n"/>
    </row>
    <row r="8" ht="18" customHeight="1" s="37">
      <c r="A8" s="47" t="inlineStr">
        <is>
          <t>Step 2: 【領域2_プロジェクト参画】シートに各月のプロジェクト実績を入力</t>
        </is>
      </c>
      <c r="B8" s="34" t="n"/>
      <c r="C8" s="34" t="n"/>
      <c r="D8" s="34" t="n"/>
      <c r="E8" s="34" t="n"/>
      <c r="F8" s="35" t="n"/>
    </row>
    <row r="9" ht="18" customHeight="1" s="37">
      <c r="A9" s="47" t="inlineStr">
        <is>
          <t>Step 3: 【領域3_インセンティブ】シートに顧客データとインセンティブを入力</t>
        </is>
      </c>
      <c r="B9" s="34" t="n"/>
      <c r="C9" s="34" t="n"/>
      <c r="D9" s="34" t="n"/>
      <c r="E9" s="34" t="n"/>
      <c r="F9" s="35" t="n"/>
    </row>
    <row r="10" ht="18" customHeight="1" s="37">
      <c r="A10" s="51" t="inlineStr">
        <is>
          <t>Step 4: 各領域シートの合計値を【P&amp;Lサマリー】シートの該当行に転記する</t>
        </is>
      </c>
      <c r="B10" s="34" t="n"/>
      <c r="C10" s="34" t="n"/>
      <c r="D10" s="34" t="n"/>
      <c r="E10" s="34" t="n"/>
      <c r="F10" s="35" t="n"/>
    </row>
    <row r="11" ht="18" customHeight="1" s="37">
      <c r="A11" s="51" t="inlineStr">
        <is>
          <t>※ P&amp;Lサマリーの入力セル（青文字）に、各領域シートの数値を手動で転記してください</t>
        </is>
      </c>
      <c r="B11" s="34" t="n"/>
      <c r="C11" s="34" t="n"/>
      <c r="D11" s="34" t="n"/>
      <c r="E11" s="34" t="n"/>
      <c r="F11" s="35" t="n"/>
    </row>
    <row r="12" ht="7.95" customHeight="1" s="37"/>
    <row r="13" ht="22.05" customHeight="1" s="37">
      <c r="A13" s="50" t="inlineStr">
        <is>
          <t>■ 各シートの入力項目</t>
        </is>
      </c>
      <c r="B13" s="34" t="n"/>
      <c r="C13" s="34" t="n"/>
      <c r="D13" s="34" t="n"/>
      <c r="E13" s="34" t="n"/>
      <c r="F13" s="35" t="n"/>
    </row>
    <row r="14" ht="18" customHeight="1" s="37">
      <c r="A14" s="49" t="inlineStr">
        <is>
          <t>[P&amp;Lサマリー] 4月〜3月 各月の売上・原価・販管費の転記入力</t>
        </is>
      </c>
      <c r="B14" s="34" t="n"/>
      <c r="C14" s="34" t="n"/>
      <c r="D14" s="34" t="n"/>
      <c r="E14" s="34" t="n"/>
      <c r="F14" s="35" t="n"/>
    </row>
    <row r="15" ht="18" customHeight="1" s="37">
      <c r="A15" s="47" t="inlineStr">
        <is>
          <t xml:space="preserve">　・領域1: スプレッド収益 → 領域1_環境提供シートのスプレッド収益を参照</t>
        </is>
      </c>
      <c r="B15" s="34" t="n"/>
      <c r="C15" s="34" t="n"/>
      <c r="D15" s="34" t="n"/>
      <c r="E15" s="34" t="n"/>
      <c r="F15" s="35" t="n"/>
    </row>
    <row r="16" ht="18" customHeight="1" s="37">
      <c r="A16" s="47" t="inlineStr">
        <is>
          <t xml:space="preserve">　・領域1: 技術サポート収益 → 同シートの技術サポート請求額を参照</t>
        </is>
      </c>
      <c r="B16" s="34" t="n"/>
      <c r="C16" s="34" t="n"/>
      <c r="D16" s="34" t="n"/>
      <c r="E16" s="34" t="n"/>
      <c r="F16" s="35" t="n"/>
    </row>
    <row r="17" ht="18" customHeight="1" s="37">
      <c r="A17" s="47" t="inlineStr">
        <is>
          <t xml:space="preserve">　・領域2: プロジェクト参画収益 → 領域2シートの売上を参照</t>
        </is>
      </c>
      <c r="B17" s="34" t="n"/>
      <c r="C17" s="34" t="n"/>
      <c r="D17" s="34" t="n"/>
      <c r="E17" s="34" t="n"/>
      <c r="F17" s="35" t="n"/>
    </row>
    <row r="18" ht="18" customHeight="1" s="37">
      <c r="A18" s="47" t="inlineStr">
        <is>
          <t xml:space="preserve">　・領域3: ベンダーインセンティブ → 領域3シートの受取インセンティブ額を参照</t>
        </is>
      </c>
      <c r="B18" s="34" t="n"/>
      <c r="C18" s="34" t="n"/>
      <c r="D18" s="34" t="n"/>
      <c r="E18" s="34" t="n"/>
      <c r="F18" s="35" t="n"/>
    </row>
    <row r="19" ht="7.95" customHeight="1" s="37"/>
    <row r="20" ht="18" customHeight="1" s="37">
      <c r="A20" s="49" t="inlineStr">
        <is>
          <t>[領域1_環境提供] 仕入れ額・卸値・技術サポート請求額・人件費・利用アカウント数を月次入力</t>
        </is>
      </c>
      <c r="B20" s="34" t="n"/>
      <c r="C20" s="34" t="n"/>
      <c r="D20" s="34" t="n"/>
      <c r="E20" s="34" t="n"/>
      <c r="F20" s="35" t="n"/>
    </row>
    <row r="21" ht="18" customHeight="1" s="37">
      <c r="A21" s="49" t="inlineStr">
        <is>
          <t>[領域2_プロジェクト参画] 参画プロジェクト数・売上・人月・人件費を月次入力 / プロジェクト一覧も記入</t>
        </is>
      </c>
      <c r="B21" s="34" t="n"/>
      <c r="C21" s="34" t="n"/>
      <c r="D21" s="34" t="n"/>
      <c r="E21" s="34" t="n"/>
      <c r="F21" s="35" t="n"/>
    </row>
    <row r="22" ht="18" customHeight="1" s="37">
      <c r="A22" s="49" t="inlineStr">
        <is>
          <t>[領域3_インセンティブ] 顧客数・契約金額・インセンティブ額を月次入力 / 顧客一覧も記入</t>
        </is>
      </c>
      <c r="B22" s="34" t="n"/>
      <c r="C22" s="34" t="n"/>
      <c r="D22" s="34" t="n"/>
      <c r="E22" s="34" t="n"/>
      <c r="F22" s="35" t="n"/>
    </row>
    <row r="23" ht="7.95" customHeight="1" s="37"/>
    <row r="24" ht="22.05" customHeight="1" s="37">
      <c r="A24" s="50" t="inlineStr">
        <is>
          <t>■ 単位・書式の注意事項</t>
        </is>
      </c>
      <c r="B24" s="34" t="n"/>
      <c r="C24" s="34" t="n"/>
      <c r="D24" s="34" t="n"/>
      <c r="E24" s="34" t="n"/>
      <c r="F24" s="35" t="n"/>
    </row>
    <row r="25" ht="18" customHeight="1" s="37">
      <c r="A25" s="48" t="inlineStr">
        <is>
          <t>金額セル（千円）: 入力値は千円単位の整数で入力 例）1,000千円 → 1000 と入力</t>
        </is>
      </c>
      <c r="B25" s="34" t="n"/>
      <c r="C25" s="34" t="n"/>
      <c r="D25" s="34" t="n"/>
      <c r="E25" s="34" t="n"/>
      <c r="F25" s="35" t="n"/>
    </row>
    <row r="26" ht="18" customHeight="1" s="37">
      <c r="A26" s="48" t="inlineStr">
        <is>
          <t>件数・アカウント数: 実数（整数）で入力 例）50アカウント → 50 と入力</t>
        </is>
      </c>
      <c r="B26" s="34" t="n"/>
      <c r="C26" s="34" t="n"/>
      <c r="D26" s="34" t="n"/>
      <c r="E26" s="34" t="n"/>
      <c r="F26" s="35" t="n"/>
    </row>
    <row r="27" ht="18" customHeight="1" s="37">
      <c r="A27" s="48" t="inlineStr">
        <is>
          <t>人月数: 小数点1桁まで入力可能 例）1.5人月 → 1.5 と入力</t>
        </is>
      </c>
      <c r="B27" s="34" t="n"/>
      <c r="C27" s="34" t="n"/>
      <c r="D27" s="34" t="n"/>
      <c r="E27" s="34" t="n"/>
      <c r="F27" s="35" t="n"/>
    </row>
    <row r="28" ht="18" customHeight="1" s="37">
      <c r="A28" s="48" t="inlineStr">
        <is>
          <t>インセンティブ率: 小数（%表示） 例）10% → 0.1 と入力（セルに10.0%と表示されます）</t>
        </is>
      </c>
      <c r="B28" s="34" t="n"/>
      <c r="C28" s="34" t="n"/>
      <c r="D28" s="34" t="n"/>
      <c r="E28" s="34" t="n"/>
      <c r="F28" s="35" t="n"/>
    </row>
    <row r="29" ht="18" customHeight="1" s="37">
      <c r="A29" s="48" t="inlineStr">
        <is>
          <t>ゼロ値: 未入力月は 0 のまま（ダッシュ「-」で表示されます）</t>
        </is>
      </c>
      <c r="B29" s="34" t="n"/>
      <c r="C29" s="34" t="n"/>
      <c r="D29" s="34" t="n"/>
      <c r="E29" s="34" t="n"/>
      <c r="F29" s="35" t="n"/>
    </row>
    <row r="30" ht="7.95" customHeight="1" s="37"/>
    <row r="31" ht="22.05" customHeight="1" s="37">
      <c r="A31" s="50" t="inlineStr">
        <is>
          <t>■ セルの色の意味</t>
        </is>
      </c>
      <c r="B31" s="34" t="n"/>
      <c r="C31" s="34" t="n"/>
      <c r="D31" s="34" t="n"/>
      <c r="E31" s="34" t="n"/>
      <c r="F31" s="35" t="n"/>
    </row>
    <row r="32" ht="18" customHeight="1" s="37">
      <c r="A32" s="48" t="inlineStr">
        <is>
          <t>青文字セル: 手動入力が必要なセル（ハードコード入力）</t>
        </is>
      </c>
      <c r="B32" s="34" t="n"/>
      <c r="C32" s="34" t="n"/>
      <c r="D32" s="34" t="n"/>
      <c r="E32" s="34" t="n"/>
      <c r="F32" s="35" t="n"/>
    </row>
    <row r="33" ht="18" customHeight="1" s="37">
      <c r="A33" s="48" t="inlineStr">
        <is>
          <t>黒文字セル: Excelの数式で自動計算されるセル（編集不要）</t>
        </is>
      </c>
      <c r="B33" s="34" t="n"/>
      <c r="C33" s="34" t="n"/>
      <c r="D33" s="34" t="n"/>
      <c r="E33" s="34" t="n"/>
      <c r="F33" s="35" t="n"/>
    </row>
    <row r="34" ht="18" customHeight="1" s="37">
      <c r="A34" s="48" t="inlineStr">
        <is>
          <t>水色背景セル: 合計行・利益行など重要な集計行</t>
        </is>
      </c>
      <c r="B34" s="34" t="n"/>
      <c r="C34" s="34" t="n"/>
      <c r="D34" s="34" t="n"/>
      <c r="E34" s="34" t="n"/>
      <c r="F34" s="35" t="n"/>
    </row>
    <row r="35" ht="7.95" customHeight="1" s="37"/>
    <row r="36" ht="22.05" customHeight="1" s="37">
      <c r="A36" s="50" t="inlineStr">
        <is>
          <t>■ 更新頻度</t>
        </is>
      </c>
      <c r="B36" s="34" t="n"/>
      <c r="C36" s="34" t="n"/>
      <c r="D36" s="34" t="n"/>
      <c r="E36" s="34" t="n"/>
      <c r="F36" s="35" t="n"/>
    </row>
    <row r="37" ht="18" customHeight="1" s="37">
      <c r="A37" s="48" t="inlineStr">
        <is>
          <t>月次: 各月末〜翌月初旬に当月データを入力</t>
        </is>
      </c>
      <c r="B37" s="34" t="n"/>
      <c r="C37" s="34" t="n"/>
      <c r="D37" s="34" t="n"/>
      <c r="E37" s="34" t="n"/>
      <c r="F37" s="35" t="n"/>
    </row>
    <row r="38" ht="18" customHeight="1" s="37">
      <c r="A38" s="48" t="inlineStr">
        <is>
          <t>四半期: 四半期終了時に各領域の進捗レビューを実施</t>
        </is>
      </c>
      <c r="B38" s="34" t="n"/>
      <c r="C38" s="34" t="n"/>
      <c r="D38" s="34" t="n"/>
      <c r="E38" s="34" t="n"/>
      <c r="F38" s="35" t="n"/>
    </row>
    <row r="39" ht="18" customHeight="1" s="37">
      <c r="A39" s="48" t="inlineStr">
        <is>
          <t>年次: 3月末に年間実績を確定し、翌年度計画に活用</t>
        </is>
      </c>
      <c r="B39" s="34" t="n"/>
      <c r="C39" s="34" t="n"/>
      <c r="D39" s="34" t="n"/>
      <c r="E39" s="34" t="n"/>
      <c r="F39" s="35" t="n"/>
    </row>
  </sheetData>
  <mergeCells count="33">
    <mergeCell ref="A16:F16"/>
    <mergeCell ref="A37:F37"/>
    <mergeCell ref="A27:F27"/>
    <mergeCell ref="A18:F18"/>
    <mergeCell ref="A26:F26"/>
    <mergeCell ref="A3:F3"/>
    <mergeCell ref="A21:F21"/>
    <mergeCell ref="A2:F2"/>
    <mergeCell ref="A33:F33"/>
    <mergeCell ref="A14:F14"/>
    <mergeCell ref="A32:F32"/>
    <mergeCell ref="A8:F8"/>
    <mergeCell ref="A22:F22"/>
    <mergeCell ref="A17:F17"/>
    <mergeCell ref="A4:F4"/>
    <mergeCell ref="A20:F20"/>
    <mergeCell ref="A29:F29"/>
    <mergeCell ref="A38:F38"/>
    <mergeCell ref="A10:F10"/>
    <mergeCell ref="A28:F28"/>
    <mergeCell ref="A13:F13"/>
    <mergeCell ref="A9:F9"/>
    <mergeCell ref="A31:F31"/>
    <mergeCell ref="A34:F34"/>
    <mergeCell ref="A39:F39"/>
    <mergeCell ref="A15:F15"/>
    <mergeCell ref="A24:F24"/>
    <mergeCell ref="A11:F11"/>
    <mergeCell ref="A36:F36"/>
    <mergeCell ref="A1:F1"/>
    <mergeCell ref="A6:F6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2026-03-16T01:47:19Z</dcterms:created>
  <dcterms:modified xmlns:dcterms="http://purl.org/dc/terms/" xmlns:xsi="http://www.w3.org/2001/XMLSchema-instance" xsi:type="dcterms:W3CDTF">2026-03-17T00:39:18Z</dcterms:modified>
  <cp:lastModifiedBy>芳乃 松浦</cp:lastModifiedBy>
</cp:coreProperties>
</file>